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L03544360\Documents\Papers\Statistics\Antonia\Paper_Complete_0_100\2_Origen_destination_matrix\Github\"/>
    </mc:Choice>
  </mc:AlternateContent>
  <xr:revisionPtr revIDLastSave="0" documentId="13_ncr:1_{D3C44DD5-2320-4677-AE78-A6748F7AF117}" xr6:coauthVersionLast="47" xr6:coauthVersionMax="47" xr10:uidLastSave="{00000000-0000-0000-0000-000000000000}"/>
  <bookViews>
    <workbookView xWindow="790" yWindow="440" windowWidth="17770" windowHeight="20860" xr2:uid="{00000000-000D-0000-FFFF-FFFF00000000}"/>
  </bookViews>
  <sheets>
    <sheet name="Origin" sheetId="2" r:id="rId1"/>
    <sheet name="Destina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6" i="2" s="1"/>
  <c r="K23" i="2"/>
  <c r="K24" i="2"/>
  <c r="K25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" i="2"/>
  <c r="L26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" i="2"/>
  <c r="K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" i="2"/>
  <c r="E26" i="2" l="1"/>
  <c r="N3" i="2" l="1"/>
  <c r="N17" i="2"/>
  <c r="N16" i="2"/>
  <c r="N4" i="2"/>
  <c r="N2" i="2"/>
  <c r="N15" i="2"/>
  <c r="N5" i="2"/>
  <c r="R11" i="1"/>
  <c r="R3" i="1"/>
  <c r="R4" i="1"/>
  <c r="R5" i="1"/>
  <c r="R6" i="1"/>
  <c r="R7" i="1"/>
  <c r="R8" i="1"/>
  <c r="R9" i="1"/>
  <c r="R10" i="1"/>
  <c r="R2" i="1"/>
  <c r="P10" i="1"/>
  <c r="Q10" i="1"/>
  <c r="P9" i="1"/>
  <c r="Q9" i="1"/>
  <c r="P8" i="1"/>
  <c r="Q8" i="1"/>
  <c r="P7" i="1"/>
  <c r="Q7" i="1"/>
  <c r="P6" i="1"/>
  <c r="Q6" i="1"/>
  <c r="P5" i="1"/>
  <c r="Q5" i="1"/>
  <c r="P4" i="1"/>
  <c r="Q4" i="1"/>
  <c r="P3" i="1"/>
  <c r="Q3" i="1"/>
  <c r="P2" i="1"/>
  <c r="Q2" i="1"/>
  <c r="O10" i="1"/>
  <c r="O9" i="1"/>
  <c r="O8" i="1"/>
  <c r="O7" i="1"/>
  <c r="O6" i="1"/>
  <c r="O5" i="1"/>
  <c r="O4" i="1"/>
  <c r="O3" i="1"/>
  <c r="O11" i="1"/>
  <c r="O2" i="1"/>
  <c r="K10" i="1"/>
  <c r="L10" i="1"/>
  <c r="K9" i="1"/>
  <c r="L9" i="1"/>
  <c r="K8" i="1"/>
  <c r="L8" i="1"/>
  <c r="K7" i="1"/>
  <c r="L7" i="1"/>
  <c r="K6" i="1"/>
  <c r="L6" i="1"/>
  <c r="K5" i="1"/>
  <c r="L5" i="1"/>
  <c r="K4" i="1"/>
  <c r="L4" i="1"/>
  <c r="J10" i="1"/>
  <c r="J9" i="1"/>
  <c r="J8" i="1"/>
  <c r="J7" i="1"/>
  <c r="J6" i="1"/>
  <c r="J5" i="1"/>
  <c r="J4" i="1"/>
  <c r="K3" i="1"/>
  <c r="L3" i="1"/>
  <c r="J3" i="1"/>
  <c r="K2" i="1"/>
  <c r="L2" i="1"/>
  <c r="J2" i="1"/>
  <c r="D26" i="2"/>
  <c r="C26" i="2"/>
  <c r="B26" i="2"/>
  <c r="N13" i="2" l="1"/>
  <c r="N11" i="2"/>
  <c r="N20" i="2"/>
  <c r="N24" i="2"/>
  <c r="N25" i="2"/>
  <c r="N9" i="2"/>
  <c r="N14" i="2"/>
  <c r="N7" i="2"/>
  <c r="N8" i="2"/>
  <c r="N12" i="2"/>
  <c r="N10" i="2"/>
  <c r="B11" i="1"/>
  <c r="D11" i="1"/>
  <c r="E11" i="1"/>
  <c r="F11" i="1" s="1"/>
  <c r="C11" i="1"/>
  <c r="M26" i="2" l="1"/>
  <c r="N21" i="2"/>
  <c r="N19" i="2"/>
  <c r="N22" i="2"/>
  <c r="N18" i="2"/>
  <c r="N6" i="2"/>
  <c r="N23" i="2"/>
  <c r="F2" i="1"/>
  <c r="F8" i="1"/>
  <c r="F7" i="1"/>
  <c r="F5" i="1"/>
  <c r="F4" i="1"/>
  <c r="F9" i="1"/>
  <c r="F10" i="1"/>
  <c r="F6" i="1"/>
  <c r="F3" i="1"/>
  <c r="N26" i="2" l="1"/>
</calcChain>
</file>

<file path=xl/sharedStrings.xml><?xml version="1.0" encoding="utf-8"?>
<sst xmlns="http://schemas.openxmlformats.org/spreadsheetml/2006/main" count="129" uniqueCount="44">
  <si>
    <t>Total</t>
  </si>
  <si>
    <t>Altavista</t>
  </si>
  <si>
    <t>Cerro de la silla</t>
  </si>
  <si>
    <t>Estadio</t>
  </si>
  <si>
    <t>Ladrillera</t>
  </si>
  <si>
    <t>LTH</t>
  </si>
  <si>
    <t>Narvarte</t>
  </si>
  <si>
    <t>Primavera 3er Sector</t>
  </si>
  <si>
    <t>Roma</t>
  </si>
  <si>
    <t>Valle Primavera</t>
  </si>
  <si>
    <t>Villa Florida</t>
  </si>
  <si>
    <t>TOTAL</t>
  </si>
  <si>
    <t>Proportion</t>
  </si>
  <si>
    <t>Nuevo Sur</t>
  </si>
  <si>
    <t>Area plaza g3</t>
  </si>
  <si>
    <t>Paseo Tec</t>
  </si>
  <si>
    <t>Destination</t>
  </si>
  <si>
    <t>Recreation</t>
  </si>
  <si>
    <t>Study</t>
  </si>
  <si>
    <t>Work</t>
  </si>
  <si>
    <t>Attraction Point</t>
  </si>
  <si>
    <t>Commerce</t>
  </si>
  <si>
    <t>COLONY</t>
  </si>
  <si>
    <t>Recreation, commerce, and health</t>
  </si>
  <si>
    <t>Ancon del Huajuco</t>
  </si>
  <si>
    <t>Buenos AiresO</t>
  </si>
  <si>
    <t>Jardines de Altavista</t>
  </si>
  <si>
    <t>Fraccionamiento Florida</t>
  </si>
  <si>
    <t>Mexico</t>
  </si>
  <si>
    <t>Nueva Espana</t>
  </si>
  <si>
    <t>Plaza Revolucion</t>
  </si>
  <si>
    <t>Primavera 1er Sector</t>
  </si>
  <si>
    <t>Residencial Florida</t>
  </si>
  <si>
    <t>Unnamed Area 34 (Tec de Monterrey)</t>
  </si>
  <si>
    <t>Unnamed Area 35</t>
  </si>
  <si>
    <t>Tecnologico District</t>
  </si>
  <si>
    <t>Villa Estadio</t>
  </si>
  <si>
    <t>Unnamed Colony(Urban Village)</t>
  </si>
  <si>
    <t>Buenos Aires</t>
  </si>
  <si>
    <t>Urban Village and Plaza la Silla</t>
  </si>
  <si>
    <t>Tec Roundabout</t>
  </si>
  <si>
    <t>North Tec</t>
  </si>
  <si>
    <t>North District</t>
  </si>
  <si>
    <t>South 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</si>
</sst>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7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10"/>
      <color rgb="FF00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AF1F3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auto="1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5" fillId="0" borderId="0" xfId="0" applyFont="1"/>
    <xf numFmtId="0" fontId="5" fillId="0" borderId="18" xfId="0" applyFont="1" applyBorder="1"/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3" xfId="0" applyFont="1" applyBorder="1"/>
    <xf numFmtId="0" fontId="5" fillId="0" borderId="14" xfId="0" applyFont="1" applyBorder="1"/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/>
    <xf numFmtId="0" fontId="5" fillId="0" borderId="9" xfId="0" applyFont="1" applyBorder="1"/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2" xfId="0" applyFont="1" applyBorder="1"/>
    <xf numFmtId="0" fontId="5" fillId="0" borderId="10" xfId="0" applyFont="1" applyBorder="1"/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6" xfId="0" applyFont="1" applyBorder="1"/>
    <xf numFmtId="0" fontId="5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2"/>
  <sheetViews>
    <sheetView tabSelected="1" zoomScale="115" zoomScaleNormal="115" workbookViewId="0">
      <selection activeCell="G29" sqref="G29"/>
    </sheetView>
  </sheetViews>
  <sheetFormatPr defaultRowHeight="14.5" x14ac:dyDescent="0.35"/>
  <cols>
    <col min="1" max="1" width="14.81640625" customWidth="1"/>
    <col min="5" max="5" width="9.08984375"/>
    <col min="10" max="10" width="13.36328125" customWidth="1"/>
    <col min="12" max="12" width="10.36328125" customWidth="1"/>
  </cols>
  <sheetData>
    <row r="1" spans="1:14" ht="46.5" thickBot="1" x14ac:dyDescent="0.4">
      <c r="A1" s="1" t="s">
        <v>22</v>
      </c>
      <c r="B1" s="2" t="s">
        <v>19</v>
      </c>
      <c r="C1" s="2" t="s">
        <v>18</v>
      </c>
      <c r="D1" s="2" t="s">
        <v>23</v>
      </c>
      <c r="E1" s="2" t="s">
        <v>0</v>
      </c>
      <c r="F1" s="1" t="s">
        <v>12</v>
      </c>
      <c r="G1" s="4"/>
      <c r="H1" s="4"/>
      <c r="J1" s="1" t="s">
        <v>22</v>
      </c>
      <c r="K1" s="2" t="s">
        <v>19</v>
      </c>
      <c r="L1" s="2" t="s">
        <v>18</v>
      </c>
      <c r="M1" s="2" t="s">
        <v>23</v>
      </c>
      <c r="N1" s="2" t="s">
        <v>0</v>
      </c>
    </row>
    <row r="2" spans="1:14" ht="15" thickBot="1" x14ac:dyDescent="0.4">
      <c r="A2" s="3" t="s">
        <v>1</v>
      </c>
      <c r="B2" s="12">
        <v>0.55439000000000005</v>
      </c>
      <c r="C2" s="12">
        <v>0.16711000000000001</v>
      </c>
      <c r="D2" s="12">
        <v>0.27850000000000003</v>
      </c>
      <c r="E2" s="13">
        <v>2565</v>
      </c>
      <c r="F2" s="16">
        <f>E2/$E$26</f>
        <v>9.7265936066133249E-2</v>
      </c>
      <c r="G2" s="15"/>
      <c r="H2" s="5"/>
      <c r="J2" s="3" t="s">
        <v>1</v>
      </c>
      <c r="K2" s="6">
        <f>B2*F2</f>
        <v>5.3923262295703614E-2</v>
      </c>
      <c r="L2" s="6">
        <f>C2*F2</f>
        <v>1.6254110576011529E-2</v>
      </c>
      <c r="M2" s="6">
        <f>D2*F2</f>
        <v>2.7088563194418113E-2</v>
      </c>
      <c r="N2" s="6">
        <f t="shared" ref="N2:N25" si="0">SUM(K2:M2)</f>
        <v>9.7265936066133263E-2</v>
      </c>
    </row>
    <row r="3" spans="1:14" ht="23.5" thickBot="1" x14ac:dyDescent="0.4">
      <c r="A3" s="3" t="s">
        <v>24</v>
      </c>
      <c r="B3" s="12">
        <v>0.6</v>
      </c>
      <c r="C3" s="12">
        <v>0.128</v>
      </c>
      <c r="D3" s="12">
        <v>0.27200000000000002</v>
      </c>
      <c r="E3" s="14">
        <v>11</v>
      </c>
      <c r="F3" s="16">
        <f t="shared" ref="F3:F26" si="1">E3/$E$26</f>
        <v>4.171248720185052E-4</v>
      </c>
      <c r="G3" s="15"/>
      <c r="H3" s="5"/>
      <c r="J3" s="3" t="s">
        <v>24</v>
      </c>
      <c r="K3" s="6">
        <f t="shared" ref="K3:K25" si="2">B3*F3</f>
        <v>2.5027492321110309E-4</v>
      </c>
      <c r="L3" s="6">
        <f t="shared" ref="L3:L25" si="3">C3*F3</f>
        <v>5.3391983618368665E-5</v>
      </c>
      <c r="M3" s="6">
        <f t="shared" ref="M3:M25" si="4">D3*F3</f>
        <v>1.1345796518903343E-4</v>
      </c>
      <c r="N3" s="6">
        <f t="shared" si="0"/>
        <v>4.171248720185052E-4</v>
      </c>
    </row>
    <row r="4" spans="1:14" ht="15" thickBot="1" x14ac:dyDescent="0.4">
      <c r="A4" s="3" t="s">
        <v>25</v>
      </c>
      <c r="B4" s="12">
        <v>0.56267999999999996</v>
      </c>
      <c r="C4" s="12">
        <v>0.15182999999999999</v>
      </c>
      <c r="D4" s="12">
        <v>0.28549000000000002</v>
      </c>
      <c r="E4" s="14">
        <v>627</v>
      </c>
      <c r="F4" s="16">
        <f t="shared" si="1"/>
        <v>2.3776117705054795E-2</v>
      </c>
      <c r="G4" s="15"/>
      <c r="H4" s="5"/>
      <c r="J4" s="3" t="s">
        <v>25</v>
      </c>
      <c r="K4" s="6">
        <f t="shared" si="2"/>
        <v>1.3378345910280231E-2</v>
      </c>
      <c r="L4" s="6">
        <f t="shared" si="3"/>
        <v>3.6099279511584694E-3</v>
      </c>
      <c r="M4" s="6">
        <f t="shared" si="4"/>
        <v>6.7878438436160937E-3</v>
      </c>
      <c r="N4" s="6">
        <f t="shared" si="0"/>
        <v>2.3776117705054792E-2</v>
      </c>
    </row>
    <row r="5" spans="1:14" ht="15" thickBot="1" x14ac:dyDescent="0.4">
      <c r="A5" s="3" t="s">
        <v>2</v>
      </c>
      <c r="B5" s="12">
        <v>0.53795000000000004</v>
      </c>
      <c r="C5" s="12">
        <v>0.17954999999999999</v>
      </c>
      <c r="D5" s="12">
        <v>0.28249999999999997</v>
      </c>
      <c r="E5" s="14">
        <v>880</v>
      </c>
      <c r="F5" s="16">
        <f t="shared" si="1"/>
        <v>3.3369989761480416E-2</v>
      </c>
      <c r="G5" s="15"/>
      <c r="H5" s="5"/>
      <c r="J5" s="3" t="s">
        <v>2</v>
      </c>
      <c r="K5" s="6">
        <f t="shared" si="2"/>
        <v>1.7951385992188391E-2</v>
      </c>
      <c r="L5" s="6">
        <f t="shared" si="3"/>
        <v>5.9915816616738079E-3</v>
      </c>
      <c r="M5" s="6">
        <f t="shared" si="4"/>
        <v>9.4270221076182166E-3</v>
      </c>
      <c r="N5" s="6">
        <f t="shared" si="0"/>
        <v>3.3369989761480416E-2</v>
      </c>
    </row>
    <row r="6" spans="1:14" ht="15" thickBot="1" x14ac:dyDescent="0.4">
      <c r="A6" s="3" t="s">
        <v>3</v>
      </c>
      <c r="B6" s="12">
        <v>0.54642999999999997</v>
      </c>
      <c r="C6" s="12">
        <v>0.17363999999999999</v>
      </c>
      <c r="D6" s="12">
        <v>0.27993000000000001</v>
      </c>
      <c r="E6" s="14">
        <v>1064</v>
      </c>
      <c r="F6" s="16">
        <f t="shared" si="1"/>
        <v>4.034735125706268E-2</v>
      </c>
      <c r="G6" s="15"/>
      <c r="H6" s="5"/>
      <c r="J6" s="3" t="s">
        <v>3</v>
      </c>
      <c r="K6" s="6">
        <f t="shared" si="2"/>
        <v>2.2047003147396761E-2</v>
      </c>
      <c r="L6" s="6">
        <f t="shared" si="3"/>
        <v>7.0059140722763631E-3</v>
      </c>
      <c r="M6" s="6">
        <f t="shared" si="4"/>
        <v>1.1294434037389556E-2</v>
      </c>
      <c r="N6" s="6">
        <f t="shared" si="0"/>
        <v>4.034735125706268E-2</v>
      </c>
    </row>
    <row r="7" spans="1:14" ht="23.5" thickBot="1" x14ac:dyDescent="0.4">
      <c r="A7" s="3" t="s">
        <v>26</v>
      </c>
      <c r="B7" s="12">
        <v>0.54457999999999995</v>
      </c>
      <c r="C7" s="12">
        <v>0.17621999999999999</v>
      </c>
      <c r="D7" s="12">
        <v>0.2792</v>
      </c>
      <c r="E7" s="14">
        <v>498</v>
      </c>
      <c r="F7" s="16">
        <f t="shared" si="1"/>
        <v>1.8884380569565054E-2</v>
      </c>
      <c r="G7" s="15"/>
      <c r="H7" s="5"/>
      <c r="J7" s="3" t="s">
        <v>26</v>
      </c>
      <c r="K7" s="6">
        <f t="shared" si="2"/>
        <v>1.0284055970573736E-2</v>
      </c>
      <c r="L7" s="6">
        <f t="shared" si="3"/>
        <v>3.3278055439687538E-3</v>
      </c>
      <c r="M7" s="6">
        <f t="shared" si="4"/>
        <v>5.2725190550225636E-3</v>
      </c>
      <c r="N7" s="6">
        <f t="shared" si="0"/>
        <v>1.8884380569565054E-2</v>
      </c>
    </row>
    <row r="8" spans="1:14" ht="23.5" thickBot="1" x14ac:dyDescent="0.4">
      <c r="A8" s="3" t="s">
        <v>27</v>
      </c>
      <c r="B8" s="12">
        <v>0.52524000000000004</v>
      </c>
      <c r="C8" s="12">
        <v>0.19139</v>
      </c>
      <c r="D8" s="12">
        <v>0.28337000000000001</v>
      </c>
      <c r="E8" s="14">
        <v>1549</v>
      </c>
      <c r="F8" s="16">
        <f t="shared" si="1"/>
        <v>5.8738766068787682E-2</v>
      </c>
      <c r="G8" s="15"/>
      <c r="H8" s="5"/>
      <c r="J8" s="3" t="s">
        <v>27</v>
      </c>
      <c r="K8" s="6">
        <f t="shared" si="2"/>
        <v>3.0851949489970044E-2</v>
      </c>
      <c r="L8" s="6">
        <f t="shared" si="3"/>
        <v>1.1242012437905275E-2</v>
      </c>
      <c r="M8" s="6">
        <f t="shared" si="4"/>
        <v>1.6644804140912364E-2</v>
      </c>
      <c r="N8" s="6">
        <f t="shared" si="0"/>
        <v>5.8738766068787682E-2</v>
      </c>
    </row>
    <row r="9" spans="1:14" ht="15" thickBot="1" x14ac:dyDescent="0.4">
      <c r="A9" s="3" t="s">
        <v>4</v>
      </c>
      <c r="B9" s="12">
        <v>0.51795999999999998</v>
      </c>
      <c r="C9" s="12">
        <v>0.19661000000000001</v>
      </c>
      <c r="D9" s="12">
        <v>0.28543000000000002</v>
      </c>
      <c r="E9" s="14">
        <v>490</v>
      </c>
      <c r="F9" s="16">
        <f t="shared" si="1"/>
        <v>1.8581017026278866E-2</v>
      </c>
      <c r="G9" s="15"/>
      <c r="H9" s="5"/>
      <c r="J9" s="3" t="s">
        <v>4</v>
      </c>
      <c r="K9" s="6">
        <f t="shared" si="2"/>
        <v>9.6242235789314005E-3</v>
      </c>
      <c r="L9" s="6">
        <f t="shared" si="3"/>
        <v>3.6532137575366881E-3</v>
      </c>
      <c r="M9" s="6">
        <f t="shared" si="4"/>
        <v>5.3035796898107772E-3</v>
      </c>
      <c r="N9" s="6">
        <f t="shared" si="0"/>
        <v>1.8581017026278866E-2</v>
      </c>
    </row>
    <row r="10" spans="1:14" ht="15" thickBot="1" x14ac:dyDescent="0.4">
      <c r="A10" s="3" t="s">
        <v>5</v>
      </c>
      <c r="B10" s="12">
        <v>0.55278000000000005</v>
      </c>
      <c r="C10" s="12">
        <v>0.16506000000000001</v>
      </c>
      <c r="D10" s="12">
        <v>0.28216000000000002</v>
      </c>
      <c r="E10" s="14">
        <v>216</v>
      </c>
      <c r="F10" s="16">
        <f t="shared" si="1"/>
        <v>8.1908156687270101E-3</v>
      </c>
      <c r="G10" s="15"/>
      <c r="H10" s="5"/>
      <c r="J10" s="3" t="s">
        <v>5</v>
      </c>
      <c r="K10" s="6">
        <f t="shared" si="2"/>
        <v>4.5277190853589173E-3</v>
      </c>
      <c r="L10" s="6">
        <f t="shared" si="3"/>
        <v>1.3519760342800805E-3</v>
      </c>
      <c r="M10" s="6">
        <f t="shared" si="4"/>
        <v>2.3111205490880132E-3</v>
      </c>
      <c r="N10" s="6">
        <f t="shared" si="0"/>
        <v>8.1908156687270101E-3</v>
      </c>
    </row>
    <row r="11" spans="1:14" ht="15" thickBot="1" x14ac:dyDescent="0.4">
      <c r="A11" s="3" t="s">
        <v>28</v>
      </c>
      <c r="B11" s="12">
        <v>0.54805000000000004</v>
      </c>
      <c r="C11" s="12">
        <v>0.16589000000000001</v>
      </c>
      <c r="D11" s="12">
        <v>0.28605999999999998</v>
      </c>
      <c r="E11" s="14">
        <v>1155</v>
      </c>
      <c r="F11" s="16">
        <f t="shared" si="1"/>
        <v>4.3798111561943041E-2</v>
      </c>
      <c r="G11" s="15"/>
      <c r="H11" s="5"/>
      <c r="J11" s="3" t="s">
        <v>28</v>
      </c>
      <c r="K11" s="6">
        <f t="shared" si="2"/>
        <v>2.4003555041522885E-2</v>
      </c>
      <c r="L11" s="6">
        <f t="shared" si="3"/>
        <v>7.2656687270107314E-3</v>
      </c>
      <c r="M11" s="6">
        <f t="shared" si="4"/>
        <v>1.2528887793409426E-2</v>
      </c>
      <c r="N11" s="6">
        <f t="shared" si="0"/>
        <v>4.3798111561943041E-2</v>
      </c>
    </row>
    <row r="12" spans="1:14" ht="15" thickBot="1" x14ac:dyDescent="0.4">
      <c r="A12" s="3" t="s">
        <v>6</v>
      </c>
      <c r="B12" s="12">
        <v>0.53768000000000005</v>
      </c>
      <c r="C12" s="12">
        <v>0.18249000000000001</v>
      </c>
      <c r="D12" s="12">
        <v>0.27983000000000002</v>
      </c>
      <c r="E12" s="14">
        <v>1136</v>
      </c>
      <c r="F12" s="16">
        <f t="shared" si="1"/>
        <v>4.307762314663835E-2</v>
      </c>
      <c r="G12" s="15"/>
      <c r="H12" s="5"/>
      <c r="J12" s="3" t="s">
        <v>6</v>
      </c>
      <c r="K12" s="6">
        <f t="shared" si="2"/>
        <v>2.3161976413484511E-2</v>
      </c>
      <c r="L12" s="6">
        <f t="shared" si="3"/>
        <v>7.8612354480300326E-3</v>
      </c>
      <c r="M12" s="6">
        <f t="shared" si="4"/>
        <v>1.2054411285123811E-2</v>
      </c>
      <c r="N12" s="6">
        <f t="shared" si="0"/>
        <v>4.307762314663835E-2</v>
      </c>
    </row>
    <row r="13" spans="1:14" ht="15" thickBot="1" x14ac:dyDescent="0.4">
      <c r="A13" s="3" t="s">
        <v>29</v>
      </c>
      <c r="B13" s="12">
        <v>0.54635</v>
      </c>
      <c r="C13" s="12">
        <v>0.16316</v>
      </c>
      <c r="D13" s="12">
        <v>0.29049000000000003</v>
      </c>
      <c r="E13" s="14">
        <v>425</v>
      </c>
      <c r="F13" s="16">
        <f t="shared" si="1"/>
        <v>1.611618823707861E-2</v>
      </c>
      <c r="G13" s="15"/>
      <c r="H13" s="5"/>
      <c r="J13" s="3" t="s">
        <v>29</v>
      </c>
      <c r="K13" s="6">
        <f t="shared" si="2"/>
        <v>8.8050794433278991E-3</v>
      </c>
      <c r="L13" s="6">
        <f t="shared" si="3"/>
        <v>2.629517272761746E-3</v>
      </c>
      <c r="M13" s="6">
        <f t="shared" si="4"/>
        <v>4.6815915209889661E-3</v>
      </c>
      <c r="N13" s="6">
        <f t="shared" si="0"/>
        <v>1.611618823707861E-2</v>
      </c>
    </row>
    <row r="14" spans="1:14" ht="15" thickBot="1" x14ac:dyDescent="0.4">
      <c r="A14" s="3" t="s">
        <v>30</v>
      </c>
      <c r="B14" s="12">
        <v>0.54798999999999998</v>
      </c>
      <c r="C14" s="12">
        <v>0.16298000000000001</v>
      </c>
      <c r="D14" s="12">
        <v>0.28903000000000001</v>
      </c>
      <c r="E14" s="14">
        <v>473</v>
      </c>
      <c r="F14" s="16">
        <f t="shared" si="1"/>
        <v>1.7936369496795723E-2</v>
      </c>
      <c r="G14" s="15"/>
      <c r="H14" s="5"/>
      <c r="J14" s="3" t="s">
        <v>30</v>
      </c>
      <c r="K14" s="6">
        <f t="shared" si="2"/>
        <v>9.8289511205490888E-3</v>
      </c>
      <c r="L14" s="6">
        <f t="shared" si="3"/>
        <v>2.923269500587767E-3</v>
      </c>
      <c r="M14" s="6">
        <f t="shared" si="4"/>
        <v>5.1841488756588679E-3</v>
      </c>
      <c r="N14" s="6">
        <f t="shared" si="0"/>
        <v>1.7936369496795723E-2</v>
      </c>
    </row>
    <row r="15" spans="1:14" ht="23.5" thickBot="1" x14ac:dyDescent="0.4">
      <c r="A15" s="3" t="s">
        <v>31</v>
      </c>
      <c r="B15" s="12">
        <v>0.54664000000000001</v>
      </c>
      <c r="C15" s="12">
        <v>0.17341999999999999</v>
      </c>
      <c r="D15" s="12">
        <v>0.27994000000000002</v>
      </c>
      <c r="E15" s="14">
        <v>1833</v>
      </c>
      <c r="F15" s="16">
        <f t="shared" si="1"/>
        <v>6.9508171855447276E-2</v>
      </c>
      <c r="G15" s="15"/>
      <c r="H15" s="5"/>
      <c r="J15" s="3" t="s">
        <v>31</v>
      </c>
      <c r="K15" s="6">
        <f t="shared" si="2"/>
        <v>3.7995947063061697E-2</v>
      </c>
      <c r="L15" s="6">
        <f t="shared" si="3"/>
        <v>1.2054107163171667E-2</v>
      </c>
      <c r="M15" s="6">
        <f t="shared" si="4"/>
        <v>1.9458117629213911E-2</v>
      </c>
      <c r="N15" s="6">
        <f t="shared" si="0"/>
        <v>6.9508171855447276E-2</v>
      </c>
    </row>
    <row r="16" spans="1:14" ht="23.5" thickBot="1" x14ac:dyDescent="0.4">
      <c r="A16" s="3" t="s">
        <v>7</v>
      </c>
      <c r="B16" s="12">
        <v>0.53578999999999999</v>
      </c>
      <c r="C16" s="12">
        <v>0.18154999999999999</v>
      </c>
      <c r="D16" s="12">
        <v>0.28266999999999998</v>
      </c>
      <c r="E16" s="14">
        <v>598</v>
      </c>
      <c r="F16" s="16">
        <f t="shared" si="1"/>
        <v>2.2676424860642374E-2</v>
      </c>
      <c r="G16" s="15"/>
      <c r="H16" s="5"/>
      <c r="J16" s="3" t="s">
        <v>7</v>
      </c>
      <c r="K16" s="6">
        <f t="shared" si="2"/>
        <v>1.2149801676083578E-2</v>
      </c>
      <c r="L16" s="6">
        <f t="shared" si="3"/>
        <v>4.1169049334496225E-3</v>
      </c>
      <c r="M16" s="6">
        <f t="shared" si="4"/>
        <v>6.4099450153577795E-3</v>
      </c>
      <c r="N16" s="6">
        <f t="shared" si="0"/>
        <v>2.2676651624890978E-2</v>
      </c>
    </row>
    <row r="17" spans="1:14" ht="15" thickBot="1" x14ac:dyDescent="0.4">
      <c r="A17" s="3" t="s">
        <v>32</v>
      </c>
      <c r="B17" s="12">
        <v>0.53976000000000002</v>
      </c>
      <c r="C17" s="12">
        <v>0.17942</v>
      </c>
      <c r="D17" s="12">
        <v>0.28082000000000001</v>
      </c>
      <c r="E17" s="14">
        <v>1235</v>
      </c>
      <c r="F17" s="16">
        <f t="shared" si="1"/>
        <v>4.6831746994804899E-2</v>
      </c>
      <c r="G17" s="15"/>
      <c r="H17" s="5"/>
      <c r="J17" s="3" t="s">
        <v>32</v>
      </c>
      <c r="K17" s="6">
        <f t="shared" si="2"/>
        <v>2.5277903757915894E-2</v>
      </c>
      <c r="L17" s="6">
        <f t="shared" si="3"/>
        <v>8.4025520458078946E-3</v>
      </c>
      <c r="M17" s="6">
        <f t="shared" si="4"/>
        <v>1.3151291191081112E-2</v>
      </c>
      <c r="N17" s="6">
        <f t="shared" si="0"/>
        <v>4.6831746994804899E-2</v>
      </c>
    </row>
    <row r="18" spans="1:14" ht="15" thickBot="1" x14ac:dyDescent="0.4">
      <c r="A18" s="3" t="s">
        <v>8</v>
      </c>
      <c r="B18" s="12">
        <v>0.53874</v>
      </c>
      <c r="C18" s="12">
        <v>0.17866000000000001</v>
      </c>
      <c r="D18" s="12">
        <v>0.28260000000000002</v>
      </c>
      <c r="E18" s="14">
        <v>1812</v>
      </c>
      <c r="F18" s="16">
        <f t="shared" si="1"/>
        <v>6.8711842554321029E-2</v>
      </c>
      <c r="G18" s="15"/>
      <c r="H18" s="5"/>
      <c r="J18" s="3" t="s">
        <v>8</v>
      </c>
      <c r="K18" s="6">
        <f t="shared" si="2"/>
        <v>3.701781805771491E-2</v>
      </c>
      <c r="L18" s="6">
        <f t="shared" si="3"/>
        <v>1.2276057790754996E-2</v>
      </c>
      <c r="M18" s="6">
        <f t="shared" si="4"/>
        <v>1.9417966705851122E-2</v>
      </c>
      <c r="N18" s="6">
        <f t="shared" si="0"/>
        <v>6.8711842554321029E-2</v>
      </c>
    </row>
    <row r="19" spans="1:14" ht="35" thickBot="1" x14ac:dyDescent="0.4">
      <c r="A19" s="3" t="s">
        <v>33</v>
      </c>
      <c r="B19" s="12">
        <v>0.26573000000000002</v>
      </c>
      <c r="C19" s="12">
        <v>0.15153</v>
      </c>
      <c r="D19" s="12">
        <v>0.58274000000000004</v>
      </c>
      <c r="E19" s="14">
        <v>499</v>
      </c>
      <c r="F19" s="16">
        <f t="shared" si="1"/>
        <v>1.8922301012475825E-2</v>
      </c>
      <c r="G19" s="15"/>
      <c r="H19" s="5"/>
      <c r="J19" s="3" t="s">
        <v>33</v>
      </c>
      <c r="K19" s="6">
        <f t="shared" si="2"/>
        <v>5.0282230480452016E-3</v>
      </c>
      <c r="L19" s="6">
        <f t="shared" si="3"/>
        <v>2.8672962724204617E-3</v>
      </c>
      <c r="M19" s="6">
        <f t="shared" si="4"/>
        <v>1.1026781692010162E-2</v>
      </c>
      <c r="N19" s="6">
        <f t="shared" si="0"/>
        <v>1.8922301012475825E-2</v>
      </c>
    </row>
    <row r="20" spans="1:14" ht="15" thickBot="1" x14ac:dyDescent="0.4">
      <c r="A20" s="3" t="s">
        <v>34</v>
      </c>
      <c r="B20" s="12">
        <v>0.52639999999999998</v>
      </c>
      <c r="C20" s="12">
        <v>0.19347</v>
      </c>
      <c r="D20" s="12">
        <v>0.28014</v>
      </c>
      <c r="E20" s="14">
        <v>3595</v>
      </c>
      <c r="F20" s="16">
        <f t="shared" si="1"/>
        <v>0.13632399226422964</v>
      </c>
      <c r="G20" s="15"/>
      <c r="H20" s="5"/>
      <c r="J20" s="3" t="s">
        <v>34</v>
      </c>
      <c r="K20" s="6">
        <f t="shared" si="2"/>
        <v>7.1760949527890486E-2</v>
      </c>
      <c r="L20" s="6">
        <f t="shared" si="3"/>
        <v>2.6374602783360509E-2</v>
      </c>
      <c r="M20" s="6">
        <f t="shared" si="4"/>
        <v>3.8189803192901293E-2</v>
      </c>
      <c r="N20" s="6">
        <f t="shared" si="0"/>
        <v>0.13632535550415228</v>
      </c>
    </row>
    <row r="21" spans="1:14" ht="23.5" thickBot="1" x14ac:dyDescent="0.4">
      <c r="A21" s="3" t="s">
        <v>35</v>
      </c>
      <c r="B21" s="12">
        <v>0.56635999999999997</v>
      </c>
      <c r="C21" s="12">
        <v>0.15758</v>
      </c>
      <c r="D21" s="12">
        <v>0.27605000000000002</v>
      </c>
      <c r="E21" s="14">
        <v>3193</v>
      </c>
      <c r="F21" s="16">
        <f t="shared" si="1"/>
        <v>0.12107997421409881</v>
      </c>
      <c r="G21" s="15"/>
      <c r="H21" s="5"/>
      <c r="J21" s="3" t="s">
        <v>35</v>
      </c>
      <c r="K21" s="6">
        <f t="shared" si="2"/>
        <v>6.8574854195896998E-2</v>
      </c>
      <c r="L21" s="6">
        <f t="shared" si="3"/>
        <v>1.9079782336657691E-2</v>
      </c>
      <c r="M21" s="6">
        <f t="shared" si="4"/>
        <v>3.3424126881801977E-2</v>
      </c>
      <c r="N21" s="6">
        <f t="shared" si="0"/>
        <v>0.12107876341435667</v>
      </c>
    </row>
    <row r="22" spans="1:14" ht="15" thickBot="1" x14ac:dyDescent="0.4">
      <c r="A22" s="3" t="s">
        <v>9</v>
      </c>
      <c r="B22" s="12">
        <v>0.55503000000000002</v>
      </c>
      <c r="C22" s="12">
        <v>0.16605</v>
      </c>
      <c r="D22" s="12">
        <v>0.27892</v>
      </c>
      <c r="E22" s="14">
        <v>547</v>
      </c>
      <c r="F22" s="16">
        <f t="shared" si="1"/>
        <v>2.0742482272192938E-2</v>
      </c>
      <c r="G22" s="15"/>
      <c r="H22" s="5"/>
      <c r="J22" s="3" t="s">
        <v>9</v>
      </c>
      <c r="K22" s="6">
        <f t="shared" si="2"/>
        <v>1.1512699935535246E-2</v>
      </c>
      <c r="L22" s="6">
        <f t="shared" si="3"/>
        <v>3.4442891812976376E-3</v>
      </c>
      <c r="M22" s="6">
        <f t="shared" si="4"/>
        <v>5.7854931553600539E-3</v>
      </c>
      <c r="N22" s="6">
        <f t="shared" si="0"/>
        <v>2.0742482272192938E-2</v>
      </c>
    </row>
    <row r="23" spans="1:14" ht="15" thickBot="1" x14ac:dyDescent="0.4">
      <c r="A23" s="3" t="s">
        <v>36</v>
      </c>
      <c r="B23" s="12">
        <v>0.58611000000000002</v>
      </c>
      <c r="C23" s="12">
        <v>0.1371</v>
      </c>
      <c r="D23" s="12">
        <v>0.27678999999999998</v>
      </c>
      <c r="E23" s="14">
        <v>821</v>
      </c>
      <c r="F23" s="16">
        <f t="shared" si="1"/>
        <v>3.1132683629744796E-2</v>
      </c>
      <c r="G23" s="15"/>
      <c r="H23" s="5"/>
      <c r="J23" s="3" t="s">
        <v>36</v>
      </c>
      <c r="K23" s="6">
        <f t="shared" si="2"/>
        <v>1.8247177202229722E-2</v>
      </c>
      <c r="L23" s="6">
        <f t="shared" si="3"/>
        <v>4.2682909256380117E-3</v>
      </c>
      <c r="M23" s="6">
        <f t="shared" si="4"/>
        <v>8.6172155018770617E-3</v>
      </c>
      <c r="N23" s="6">
        <f t="shared" si="0"/>
        <v>3.1132683629744796E-2</v>
      </c>
    </row>
    <row r="24" spans="1:14" ht="15" thickBot="1" x14ac:dyDescent="0.4">
      <c r="A24" s="3" t="s">
        <v>10</v>
      </c>
      <c r="B24" s="12">
        <v>0.54508999999999996</v>
      </c>
      <c r="C24" s="12">
        <v>0.17380999999999999</v>
      </c>
      <c r="D24" s="12">
        <v>0.28109000000000001</v>
      </c>
      <c r="E24" s="14">
        <v>1060</v>
      </c>
      <c r="F24" s="16">
        <f t="shared" si="1"/>
        <v>4.019566948541959E-2</v>
      </c>
      <c r="G24" s="15"/>
      <c r="H24" s="5"/>
      <c r="J24" s="3" t="s">
        <v>10</v>
      </c>
      <c r="K24" s="6">
        <f t="shared" si="2"/>
        <v>2.1910257479807363E-2</v>
      </c>
      <c r="L24" s="6">
        <f t="shared" si="3"/>
        <v>6.9864093132607783E-3</v>
      </c>
      <c r="M24" s="6">
        <f t="shared" si="4"/>
        <v>1.1298600735656594E-2</v>
      </c>
      <c r="N24" s="6">
        <f t="shared" si="0"/>
        <v>4.0195267528724737E-2</v>
      </c>
    </row>
    <row r="25" spans="1:14" ht="35" thickBot="1" x14ac:dyDescent="0.4">
      <c r="A25" s="8" t="s">
        <v>37</v>
      </c>
      <c r="B25" s="12">
        <v>0.55954999999999999</v>
      </c>
      <c r="C25" s="12">
        <v>0.16397999999999999</v>
      </c>
      <c r="D25" s="12">
        <v>0.27646999999999999</v>
      </c>
      <c r="E25" s="14">
        <v>89</v>
      </c>
      <c r="F25" s="17">
        <f t="shared" si="1"/>
        <v>3.3749194190588147E-3</v>
      </c>
      <c r="G25" s="15"/>
      <c r="H25" s="5"/>
      <c r="J25" s="8" t="s">
        <v>37</v>
      </c>
      <c r="K25" s="6">
        <f t="shared" si="2"/>
        <v>1.8884361609343597E-3</v>
      </c>
      <c r="L25" s="6">
        <f t="shared" si="3"/>
        <v>5.5341928633726443E-4</v>
      </c>
      <c r="M25" s="6">
        <f t="shared" si="4"/>
        <v>9.3306397178719047E-4</v>
      </c>
      <c r="N25" s="6">
        <f t="shared" si="0"/>
        <v>3.3749194190588142E-3</v>
      </c>
    </row>
    <row r="26" spans="1:14" ht="15" thickBot="1" x14ac:dyDescent="0.4">
      <c r="A26" s="3" t="s">
        <v>11</v>
      </c>
      <c r="B26" s="7">
        <f>SUM(B2:B25)</f>
        <v>12.887280000000001</v>
      </c>
      <c r="C26" s="7">
        <f>SUM(C2:C25)</f>
        <v>4.0605000000000002</v>
      </c>
      <c r="D26" s="7">
        <f>SUM(D2:D25)</f>
        <v>7.052220000000001</v>
      </c>
      <c r="E26" s="18">
        <f>SUM(E2:E25)</f>
        <v>26371</v>
      </c>
      <c r="F26" s="17">
        <f t="shared" si="1"/>
        <v>1</v>
      </c>
      <c r="G26" s="15"/>
      <c r="H26" s="5"/>
      <c r="J26" s="3" t="s">
        <v>11</v>
      </c>
      <c r="K26" s="6">
        <f>SUM(K2:K25)</f>
        <v>0.54000185051761396</v>
      </c>
      <c r="L26" s="6">
        <f>SUM(L2:L25)</f>
        <v>0.17359333699897617</v>
      </c>
      <c r="M26" s="6">
        <f t="shared" ref="M26" si="5">SUM(M2:M25)</f>
        <v>0.28640478973114403</v>
      </c>
      <c r="N26" s="6">
        <f>SUM(N2:N25)</f>
        <v>0.99999997724773393</v>
      </c>
    </row>
    <row r="48" spans="1:1" x14ac:dyDescent="0.35">
      <c r="A48" s="9" t="s">
        <v>1</v>
      </c>
    </row>
    <row r="49" spans="1:1" x14ac:dyDescent="0.35">
      <c r="A49" s="10" t="s">
        <v>24</v>
      </c>
    </row>
    <row r="50" spans="1:1" x14ac:dyDescent="0.35">
      <c r="A50" s="10" t="s">
        <v>25</v>
      </c>
    </row>
    <row r="51" spans="1:1" x14ac:dyDescent="0.35">
      <c r="A51" s="10" t="s">
        <v>2</v>
      </c>
    </row>
    <row r="52" spans="1:1" x14ac:dyDescent="0.35">
      <c r="A52" s="10" t="s">
        <v>3</v>
      </c>
    </row>
    <row r="53" spans="1:1" x14ac:dyDescent="0.35">
      <c r="A53" s="10" t="s">
        <v>26</v>
      </c>
    </row>
    <row r="54" spans="1:1" x14ac:dyDescent="0.35">
      <c r="A54" s="10" t="s">
        <v>27</v>
      </c>
    </row>
    <row r="55" spans="1:1" x14ac:dyDescent="0.35">
      <c r="A55" s="10" t="s">
        <v>4</v>
      </c>
    </row>
    <row r="56" spans="1:1" x14ac:dyDescent="0.35">
      <c r="A56" s="10" t="s">
        <v>5</v>
      </c>
    </row>
    <row r="57" spans="1:1" x14ac:dyDescent="0.35">
      <c r="A57" s="10" t="s">
        <v>28</v>
      </c>
    </row>
    <row r="58" spans="1:1" x14ac:dyDescent="0.35">
      <c r="A58" s="10" t="s">
        <v>6</v>
      </c>
    </row>
    <row r="59" spans="1:1" x14ac:dyDescent="0.35">
      <c r="A59" s="10" t="s">
        <v>29</v>
      </c>
    </row>
    <row r="60" spans="1:1" x14ac:dyDescent="0.35">
      <c r="A60" s="10" t="s">
        <v>30</v>
      </c>
    </row>
    <row r="61" spans="1:1" x14ac:dyDescent="0.35">
      <c r="A61" s="10" t="s">
        <v>31</v>
      </c>
    </row>
    <row r="62" spans="1:1" x14ac:dyDescent="0.35">
      <c r="A62" s="10" t="s">
        <v>7</v>
      </c>
    </row>
    <row r="63" spans="1:1" x14ac:dyDescent="0.35">
      <c r="A63" s="10" t="s">
        <v>32</v>
      </c>
    </row>
    <row r="64" spans="1:1" x14ac:dyDescent="0.35">
      <c r="A64" s="10" t="s">
        <v>8</v>
      </c>
    </row>
    <row r="65" spans="1:1" x14ac:dyDescent="0.35">
      <c r="A65" s="10" t="s">
        <v>33</v>
      </c>
    </row>
    <row r="66" spans="1:1" x14ac:dyDescent="0.35">
      <c r="A66" s="10" t="s">
        <v>34</v>
      </c>
    </row>
    <row r="67" spans="1:1" x14ac:dyDescent="0.35">
      <c r="A67" s="10" t="s">
        <v>35</v>
      </c>
    </row>
    <row r="68" spans="1:1" x14ac:dyDescent="0.35">
      <c r="A68" s="10" t="s">
        <v>9</v>
      </c>
    </row>
    <row r="69" spans="1:1" x14ac:dyDescent="0.35">
      <c r="A69" s="10" t="s">
        <v>36</v>
      </c>
    </row>
    <row r="70" spans="1:1" x14ac:dyDescent="0.35">
      <c r="A70" s="10" t="s">
        <v>10</v>
      </c>
    </row>
    <row r="71" spans="1:1" ht="15" thickBot="1" x14ac:dyDescent="0.4">
      <c r="A71" s="11" t="s">
        <v>37</v>
      </c>
    </row>
    <row r="72" spans="1:1" ht="15" thickTop="1" x14ac:dyDescent="0.3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zoomScale="130" zoomScaleNormal="130" workbookViewId="0">
      <selection activeCell="E18" sqref="E18"/>
    </sheetView>
  </sheetViews>
  <sheetFormatPr defaultRowHeight="14.5" x14ac:dyDescent="0.35"/>
  <cols>
    <col min="1" max="1" width="28.26953125" customWidth="1"/>
    <col min="4" max="4" width="15.453125" customWidth="1"/>
    <col min="6" max="6" width="10.453125" customWidth="1"/>
    <col min="8" max="8" width="8.36328125" customWidth="1"/>
    <col min="9" max="9" width="31.26953125" customWidth="1"/>
    <col min="10" max="10" width="10.36328125" customWidth="1"/>
    <col min="11" max="11" width="10" customWidth="1"/>
    <col min="12" max="12" width="10.08984375" customWidth="1"/>
    <col min="14" max="14" width="28" customWidth="1"/>
    <col min="17" max="17" width="10.81640625" customWidth="1"/>
    <col min="18" max="18" width="10.08984375" customWidth="1"/>
  </cols>
  <sheetData>
    <row r="1" spans="1:19" ht="15.5" thickTop="1" thickBot="1" x14ac:dyDescent="0.4">
      <c r="A1" s="19" t="s">
        <v>20</v>
      </c>
      <c r="B1" s="20" t="s">
        <v>19</v>
      </c>
      <c r="C1" s="20" t="s">
        <v>18</v>
      </c>
      <c r="D1" s="20" t="s">
        <v>21</v>
      </c>
      <c r="E1" s="20" t="s">
        <v>0</v>
      </c>
      <c r="F1" s="19" t="s">
        <v>12</v>
      </c>
      <c r="G1" s="21"/>
      <c r="H1" s="21"/>
      <c r="I1" s="19" t="s">
        <v>16</v>
      </c>
      <c r="J1" s="20" t="s">
        <v>19</v>
      </c>
      <c r="K1" s="20" t="s">
        <v>18</v>
      </c>
      <c r="L1" s="20" t="s">
        <v>17</v>
      </c>
      <c r="M1" s="22"/>
      <c r="N1" s="23" t="s">
        <v>16</v>
      </c>
      <c r="O1" s="23" t="s">
        <v>19</v>
      </c>
      <c r="P1" s="23" t="s">
        <v>18</v>
      </c>
      <c r="Q1" s="23" t="s">
        <v>17</v>
      </c>
      <c r="R1" s="24" t="s">
        <v>0</v>
      </c>
      <c r="S1" s="21"/>
    </row>
    <row r="2" spans="1:19" ht="15" thickTop="1" x14ac:dyDescent="0.35">
      <c r="A2" s="25" t="s">
        <v>13</v>
      </c>
      <c r="B2" s="26">
        <v>1752</v>
      </c>
      <c r="C2" s="26">
        <v>243</v>
      </c>
      <c r="D2" s="26">
        <v>2666</v>
      </c>
      <c r="E2" s="26">
        <v>4661</v>
      </c>
      <c r="F2" s="26">
        <f t="shared" ref="F2:F11" si="0">E2/$E$11</f>
        <v>8.4861174328629954E-2</v>
      </c>
      <c r="G2" s="21"/>
      <c r="H2" s="21"/>
      <c r="I2" s="25" t="s">
        <v>13</v>
      </c>
      <c r="J2" s="27">
        <f>B2/$E$2</f>
        <v>0.37588500321819351</v>
      </c>
      <c r="K2" s="27">
        <f t="shared" ref="K2:L2" si="1">C2/$E$2</f>
        <v>5.2134735035400129E-2</v>
      </c>
      <c r="L2" s="27">
        <f t="shared" si="1"/>
        <v>0.57198026174640637</v>
      </c>
      <c r="M2" s="22"/>
      <c r="N2" s="25" t="s">
        <v>13</v>
      </c>
      <c r="O2" s="28">
        <f>J2*$F$2</f>
        <v>3.1898042785616754E-2</v>
      </c>
      <c r="P2" s="28">
        <f t="shared" ref="P2:Q2" si="2">K2*$F$2</f>
        <v>4.4242148384160225E-3</v>
      </c>
      <c r="Q2" s="28">
        <f t="shared" si="2"/>
        <v>4.8538916704597181E-2</v>
      </c>
      <c r="R2" s="29">
        <f>SUM(O2:Q2)</f>
        <v>8.4861174328629954E-2</v>
      </c>
      <c r="S2" s="21"/>
    </row>
    <row r="3" spans="1:19" x14ac:dyDescent="0.35">
      <c r="A3" s="30" t="s">
        <v>14</v>
      </c>
      <c r="B3" s="31">
        <v>3404</v>
      </c>
      <c r="C3" s="31">
        <v>0</v>
      </c>
      <c r="D3" s="31">
        <v>1186</v>
      </c>
      <c r="E3" s="31">
        <v>4590</v>
      </c>
      <c r="F3" s="31">
        <f t="shared" si="0"/>
        <v>8.3568502503413744E-2</v>
      </c>
      <c r="G3" s="21"/>
      <c r="H3" s="21"/>
      <c r="I3" s="30" t="s">
        <v>14</v>
      </c>
      <c r="J3" s="32">
        <f>B3/$E$3</f>
        <v>0.74161220043572984</v>
      </c>
      <c r="K3" s="32">
        <f t="shared" ref="K3:L3" si="3">C3/$E$3</f>
        <v>0</v>
      </c>
      <c r="L3" s="32">
        <f t="shared" si="3"/>
        <v>0.25838779956427016</v>
      </c>
      <c r="M3" s="22"/>
      <c r="N3" s="30" t="s">
        <v>14</v>
      </c>
      <c r="O3" s="33">
        <f>J3*$F$3</f>
        <v>6.1975421028675468E-2</v>
      </c>
      <c r="P3" s="33">
        <f t="shared" ref="P3:Q3" si="4">K3*$F$3</f>
        <v>0</v>
      </c>
      <c r="Q3" s="33">
        <f t="shared" si="4"/>
        <v>2.159308147473828E-2</v>
      </c>
      <c r="R3" s="34">
        <f t="shared" ref="R3:R10" si="5">SUM(O3:Q3)</f>
        <v>8.3568502503413744E-2</v>
      </c>
      <c r="S3" s="21"/>
    </row>
    <row r="4" spans="1:19" x14ac:dyDescent="0.35">
      <c r="A4" s="30" t="s">
        <v>38</v>
      </c>
      <c r="B4" s="31">
        <v>5860</v>
      </c>
      <c r="C4" s="31">
        <v>10</v>
      </c>
      <c r="D4" s="31">
        <v>0</v>
      </c>
      <c r="E4" s="31">
        <v>5870</v>
      </c>
      <c r="F4" s="31">
        <f t="shared" si="0"/>
        <v>0.10687300864815658</v>
      </c>
      <c r="G4" s="21"/>
      <c r="H4" s="21"/>
      <c r="I4" s="30" t="s">
        <v>38</v>
      </c>
      <c r="J4" s="32">
        <f>B4/$E$4</f>
        <v>0.99829642248722317</v>
      </c>
      <c r="K4" s="32">
        <f t="shared" ref="K4:L4" si="6">C4/$E$4</f>
        <v>1.7035775127768314E-3</v>
      </c>
      <c r="L4" s="32">
        <f t="shared" si="6"/>
        <v>0</v>
      </c>
      <c r="M4" s="22"/>
      <c r="N4" s="30" t="s">
        <v>38</v>
      </c>
      <c r="O4" s="33">
        <f>J4*$F$4</f>
        <v>0.10669094219390077</v>
      </c>
      <c r="P4" s="33">
        <f t="shared" ref="P4:Q4" si="7">K4*$F$4</f>
        <v>1.8206645425580337E-4</v>
      </c>
      <c r="Q4" s="33">
        <f t="shared" si="7"/>
        <v>0</v>
      </c>
      <c r="R4" s="34">
        <f t="shared" si="5"/>
        <v>0.10687300864815658</v>
      </c>
      <c r="S4" s="21"/>
    </row>
    <row r="5" spans="1:19" x14ac:dyDescent="0.35">
      <c r="A5" s="30" t="s">
        <v>15</v>
      </c>
      <c r="B5" s="31">
        <v>500</v>
      </c>
      <c r="C5" s="31">
        <v>10</v>
      </c>
      <c r="D5" s="31">
        <v>666</v>
      </c>
      <c r="E5" s="31">
        <v>1176</v>
      </c>
      <c r="F5" s="31">
        <f t="shared" si="0"/>
        <v>2.1411015020482475E-2</v>
      </c>
      <c r="G5" s="21"/>
      <c r="H5" s="21"/>
      <c r="I5" s="30" t="s">
        <v>15</v>
      </c>
      <c r="J5" s="32">
        <f>B5/$E$5</f>
        <v>0.42517006802721086</v>
      </c>
      <c r="K5" s="32">
        <f t="shared" ref="K5:L5" si="8">C5/$E$5</f>
        <v>8.5034013605442185E-3</v>
      </c>
      <c r="L5" s="32">
        <f t="shared" si="8"/>
        <v>0.56632653061224492</v>
      </c>
      <c r="M5" s="22"/>
      <c r="N5" s="30" t="s">
        <v>15</v>
      </c>
      <c r="O5" s="33">
        <f>J5*$F$5</f>
        <v>9.1033227127901677E-3</v>
      </c>
      <c r="P5" s="33">
        <f t="shared" ref="P5:Q5" si="9">K5*$F$5</f>
        <v>1.8206645425580337E-4</v>
      </c>
      <c r="Q5" s="33">
        <f t="shared" si="9"/>
        <v>1.2125625853436505E-2</v>
      </c>
      <c r="R5" s="34">
        <f t="shared" si="5"/>
        <v>2.1411015020482475E-2</v>
      </c>
      <c r="S5" s="21"/>
    </row>
    <row r="6" spans="1:19" x14ac:dyDescent="0.35">
      <c r="A6" s="30" t="s">
        <v>39</v>
      </c>
      <c r="B6" s="31">
        <v>350</v>
      </c>
      <c r="C6" s="31">
        <v>0</v>
      </c>
      <c r="D6" s="31">
        <v>5181</v>
      </c>
      <c r="E6" s="31">
        <v>5531</v>
      </c>
      <c r="F6" s="31">
        <f t="shared" si="0"/>
        <v>0.10070095584888485</v>
      </c>
      <c r="G6" s="21"/>
      <c r="H6" s="21"/>
      <c r="I6" s="30" t="s">
        <v>39</v>
      </c>
      <c r="J6" s="32">
        <f>B6/$E$6</f>
        <v>6.3279696257457968E-2</v>
      </c>
      <c r="K6" s="32">
        <f t="shared" ref="K6:L6" si="10">C6/$E$6</f>
        <v>0</v>
      </c>
      <c r="L6" s="32">
        <f t="shared" si="10"/>
        <v>0.936720303742542</v>
      </c>
      <c r="M6" s="22"/>
      <c r="N6" s="30" t="s">
        <v>39</v>
      </c>
      <c r="O6" s="33">
        <f>J6*$F$6</f>
        <v>6.3723258989531184E-3</v>
      </c>
      <c r="P6" s="33">
        <f t="shared" ref="P6:Q6" si="11">K6*$F$6</f>
        <v>0</v>
      </c>
      <c r="Q6" s="33">
        <f t="shared" si="11"/>
        <v>9.4328629949931728E-2</v>
      </c>
      <c r="R6" s="34">
        <f t="shared" si="5"/>
        <v>0.10070095584888485</v>
      </c>
      <c r="S6" s="21"/>
    </row>
    <row r="7" spans="1:19" x14ac:dyDescent="0.35">
      <c r="A7" s="30" t="s">
        <v>40</v>
      </c>
      <c r="B7" s="31">
        <v>3500</v>
      </c>
      <c r="C7" s="31">
        <v>18385</v>
      </c>
      <c r="D7" s="31">
        <v>647</v>
      </c>
      <c r="E7" s="31">
        <v>22532</v>
      </c>
      <c r="F7" s="31">
        <f t="shared" si="0"/>
        <v>0.41023213472917613</v>
      </c>
      <c r="G7" s="21"/>
      <c r="H7" s="21"/>
      <c r="I7" s="30" t="s">
        <v>40</v>
      </c>
      <c r="J7" s="32">
        <f>B7/$E$7</f>
        <v>0.15533463518551394</v>
      </c>
      <c r="K7" s="32">
        <f t="shared" ref="K7:L7" si="12">C7/$E$7</f>
        <v>0.8159506479673353</v>
      </c>
      <c r="L7" s="32">
        <f t="shared" si="12"/>
        <v>2.8714716847150719E-2</v>
      </c>
      <c r="M7" s="22"/>
      <c r="N7" s="30" t="s">
        <v>40</v>
      </c>
      <c r="O7" s="33">
        <f>J7*$F$7</f>
        <v>6.372325898953117E-2</v>
      </c>
      <c r="P7" s="33">
        <f t="shared" ref="P7:Q7" si="13">K7*$F$7</f>
        <v>0.33472917614929448</v>
      </c>
      <c r="Q7" s="33">
        <f t="shared" si="13"/>
        <v>1.1779699590350478E-2</v>
      </c>
      <c r="R7" s="34">
        <f t="shared" si="5"/>
        <v>0.41023213472917613</v>
      </c>
      <c r="S7" s="21"/>
    </row>
    <row r="8" spans="1:19" x14ac:dyDescent="0.35">
      <c r="A8" s="30" t="s">
        <v>41</v>
      </c>
      <c r="B8" s="31">
        <v>1702</v>
      </c>
      <c r="C8" s="31">
        <v>217</v>
      </c>
      <c r="D8" s="31">
        <v>38</v>
      </c>
      <c r="E8" s="31">
        <v>1957</v>
      </c>
      <c r="F8" s="31">
        <f t="shared" si="0"/>
        <v>3.5630405097860716E-2</v>
      </c>
      <c r="G8" s="21"/>
      <c r="H8" s="21"/>
      <c r="I8" s="30" t="s">
        <v>41</v>
      </c>
      <c r="J8" s="32">
        <f>B8/$E$8</f>
        <v>0.8696985181400102</v>
      </c>
      <c r="K8" s="32">
        <f t="shared" ref="K8:L8" si="14">C8/$E$8</f>
        <v>0.11088400613183444</v>
      </c>
      <c r="L8" s="32">
        <f t="shared" si="14"/>
        <v>1.9417475728155338E-2</v>
      </c>
      <c r="M8" s="22"/>
      <c r="N8" s="30" t="s">
        <v>41</v>
      </c>
      <c r="O8" s="33">
        <f>J8*$F$8</f>
        <v>3.098771051433773E-2</v>
      </c>
      <c r="P8" s="33">
        <f t="shared" ref="P8:Q8" si="15">K8*$F$8</f>
        <v>3.9508420573509326E-3</v>
      </c>
      <c r="Q8" s="33">
        <f t="shared" si="15"/>
        <v>6.9185252617205272E-4</v>
      </c>
      <c r="R8" s="34">
        <f t="shared" si="5"/>
        <v>3.5630405097860716E-2</v>
      </c>
      <c r="S8" s="21"/>
    </row>
    <row r="9" spans="1:19" x14ac:dyDescent="0.35">
      <c r="A9" s="30" t="s">
        <v>42</v>
      </c>
      <c r="B9" s="31">
        <v>2504</v>
      </c>
      <c r="C9" s="31">
        <v>0</v>
      </c>
      <c r="D9" s="31">
        <v>47</v>
      </c>
      <c r="E9" s="31">
        <v>2551</v>
      </c>
      <c r="F9" s="31">
        <f t="shared" si="0"/>
        <v>4.6445152480655442E-2</v>
      </c>
      <c r="G9" s="21"/>
      <c r="H9" s="21"/>
      <c r="I9" s="30" t="s">
        <v>42</v>
      </c>
      <c r="J9" s="32">
        <f>B9/$E$9</f>
        <v>0.9815758526068209</v>
      </c>
      <c r="K9" s="32">
        <f t="shared" ref="K9:L9" si="16">C9/$E$9</f>
        <v>0</v>
      </c>
      <c r="L9" s="32">
        <f t="shared" si="16"/>
        <v>1.8424147393179144E-2</v>
      </c>
      <c r="M9" s="22"/>
      <c r="N9" s="30" t="s">
        <v>42</v>
      </c>
      <c r="O9" s="33">
        <f>J9*$F$9</f>
        <v>4.5589440145653172E-2</v>
      </c>
      <c r="P9" s="33">
        <f t="shared" ref="P9:Q9" si="17">K9*$F$9</f>
        <v>0</v>
      </c>
      <c r="Q9" s="33">
        <f t="shared" si="17"/>
        <v>8.5571233500227582E-4</v>
      </c>
      <c r="R9" s="34">
        <f t="shared" si="5"/>
        <v>4.6445152480655449E-2</v>
      </c>
      <c r="S9" s="21"/>
    </row>
    <row r="10" spans="1:19" ht="15" thickBot="1" x14ac:dyDescent="0.4">
      <c r="A10" s="35" t="s">
        <v>43</v>
      </c>
      <c r="B10" s="36">
        <v>1357</v>
      </c>
      <c r="C10" s="36">
        <v>4700</v>
      </c>
      <c r="D10" s="36">
        <v>0</v>
      </c>
      <c r="E10" s="36">
        <v>6057</v>
      </c>
      <c r="F10" s="36">
        <f t="shared" si="0"/>
        <v>0.1102776513427401</v>
      </c>
      <c r="G10" s="21"/>
      <c r="H10" s="21"/>
      <c r="I10" s="35" t="s">
        <v>43</v>
      </c>
      <c r="J10" s="37">
        <f>B10/$E$10</f>
        <v>0.22403830279016015</v>
      </c>
      <c r="K10" s="37">
        <f t="shared" ref="K10:L10" si="18">C10/$E$10</f>
        <v>0.77596169720983987</v>
      </c>
      <c r="L10" s="37">
        <f t="shared" si="18"/>
        <v>0</v>
      </c>
      <c r="M10" s="22"/>
      <c r="N10" s="35" t="s">
        <v>43</v>
      </c>
      <c r="O10" s="38">
        <f>J10*$F$10</f>
        <v>2.4706417842512519E-2</v>
      </c>
      <c r="P10" s="38">
        <f t="shared" ref="P10:Q10" si="19">K10*$F$10</f>
        <v>8.5571233500227592E-2</v>
      </c>
      <c r="Q10" s="38">
        <f t="shared" si="19"/>
        <v>0</v>
      </c>
      <c r="R10" s="39">
        <f t="shared" si="5"/>
        <v>0.11027765134274012</v>
      </c>
      <c r="S10" s="21"/>
    </row>
    <row r="11" spans="1:19" ht="15.5" thickTop="1" thickBot="1" x14ac:dyDescent="0.4">
      <c r="A11" s="40" t="s">
        <v>0</v>
      </c>
      <c r="B11" s="41">
        <f>SUM(B2:B10)</f>
        <v>20929</v>
      </c>
      <c r="C11" s="41">
        <f>SUM(C2:C10)</f>
        <v>23565</v>
      </c>
      <c r="D11" s="41">
        <f t="shared" ref="D11:E11" si="20">SUM(D2:D10)</f>
        <v>10431</v>
      </c>
      <c r="E11" s="41">
        <f t="shared" si="20"/>
        <v>54925</v>
      </c>
      <c r="F11" s="41">
        <f t="shared" si="0"/>
        <v>1</v>
      </c>
      <c r="G11" s="21"/>
      <c r="H11" s="21"/>
      <c r="I11" s="21"/>
      <c r="J11" s="21"/>
      <c r="K11" s="21"/>
      <c r="L11" s="21"/>
      <c r="M11" s="22"/>
      <c r="N11" s="40" t="s">
        <v>0</v>
      </c>
      <c r="O11" s="42">
        <f t="shared" ref="O11" si="21">J11*$F$2</f>
        <v>0</v>
      </c>
      <c r="P11" s="42"/>
      <c r="Q11" s="42"/>
      <c r="R11" s="43">
        <f>SUM(R2:R10)</f>
        <v>1</v>
      </c>
      <c r="S11" s="21"/>
    </row>
    <row r="12" spans="1:19" ht="15" thickTop="1" x14ac:dyDescent="0.3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</vt:lpstr>
      <vt:lpstr>Destination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</dc:creator>
  <cp:lastModifiedBy>Erfan Nobil</cp:lastModifiedBy>
  <dcterms:created xsi:type="dcterms:W3CDTF">2025-01-13T17:14:40Z</dcterms:created>
  <dcterms:modified xsi:type="dcterms:W3CDTF">2025-11-25T21:45:39Z</dcterms:modified>
</cp:coreProperties>
</file>