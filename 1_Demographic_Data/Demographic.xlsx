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03544360\Documents\Papers\Statistics\Antonia\Paper_Complete_0_100\1_Demographic_data\Github\"/>
    </mc:Choice>
  </mc:AlternateContent>
  <xr:revisionPtr revIDLastSave="0" documentId="13_ncr:1_{80F1920E-1509-44DA-9E02-BC1B41088882}" xr6:coauthVersionLast="47" xr6:coauthVersionMax="47" xr10:uidLastSave="{00000000-0000-0000-0000-000000000000}"/>
  <bookViews>
    <workbookView xWindow="-110" yWindow="-110" windowWidth="38620" windowHeight="21100" tabRatio="496" xr2:uid="{00000000-000D-0000-FFFF-FFFF00000000}"/>
  </bookViews>
  <sheets>
    <sheet name="Demographic Analysis" sheetId="4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0" i="46" l="1"/>
  <c r="K61" i="46"/>
  <c r="K62" i="46"/>
  <c r="K63" i="46"/>
  <c r="K64" i="46"/>
  <c r="K65" i="46"/>
  <c r="K66" i="46"/>
  <c r="K67" i="46"/>
  <c r="K68" i="46"/>
  <c r="K69" i="46"/>
  <c r="K70" i="46"/>
  <c r="K71" i="46"/>
  <c r="K72" i="46"/>
  <c r="K73" i="46"/>
  <c r="K74" i="46"/>
  <c r="K75" i="46"/>
  <c r="K56" i="46"/>
  <c r="K57" i="46"/>
  <c r="K58" i="46"/>
  <c r="K59" i="46"/>
  <c r="K54" i="46"/>
  <c r="K55" i="46"/>
  <c r="K53" i="46"/>
  <c r="K52" i="46"/>
  <c r="J53" i="46"/>
  <c r="J54" i="46"/>
  <c r="J55" i="46"/>
  <c r="J56" i="46"/>
  <c r="J57" i="46"/>
  <c r="J58" i="46"/>
  <c r="J59" i="46"/>
  <c r="J60" i="46"/>
  <c r="J61" i="46"/>
  <c r="J62" i="46"/>
  <c r="J63" i="46"/>
  <c r="J64" i="46"/>
  <c r="J65" i="46"/>
  <c r="J66" i="46"/>
  <c r="J67" i="46"/>
  <c r="J68" i="46"/>
  <c r="J69" i="46"/>
  <c r="J70" i="46"/>
  <c r="J71" i="46"/>
  <c r="J72" i="46"/>
  <c r="J73" i="46"/>
  <c r="J74" i="46"/>
  <c r="J75" i="46"/>
  <c r="J52" i="46"/>
  <c r="I53" i="46"/>
  <c r="I54" i="46"/>
  <c r="I55" i="46"/>
  <c r="I56" i="46"/>
  <c r="I57" i="46"/>
  <c r="I58" i="46"/>
  <c r="I59" i="46"/>
  <c r="I60" i="46"/>
  <c r="I61" i="46"/>
  <c r="I62" i="46"/>
  <c r="I63" i="46"/>
  <c r="I64" i="46"/>
  <c r="I65" i="46"/>
  <c r="I66" i="46"/>
  <c r="I67" i="46"/>
  <c r="I68" i="46"/>
  <c r="I69" i="46"/>
  <c r="I70" i="46"/>
  <c r="I71" i="46"/>
  <c r="I72" i="46"/>
  <c r="I73" i="46"/>
  <c r="I74" i="46"/>
  <c r="I75" i="46"/>
  <c r="I52" i="46"/>
  <c r="C53" i="46"/>
  <c r="C54" i="46"/>
  <c r="C55" i="46"/>
  <c r="C56" i="46"/>
  <c r="C57" i="46"/>
  <c r="C58" i="46"/>
  <c r="H58" i="46" s="1"/>
  <c r="C59" i="46"/>
  <c r="E59" i="46" s="1"/>
  <c r="C60" i="46"/>
  <c r="H60" i="46" s="1"/>
  <c r="C61" i="46"/>
  <c r="C62" i="46"/>
  <c r="H62" i="46" s="1"/>
  <c r="C63" i="46"/>
  <c r="C64" i="46"/>
  <c r="G64" i="46" s="1"/>
  <c r="C65" i="46"/>
  <c r="C66" i="46"/>
  <c r="H66" i="46" s="1"/>
  <c r="C67" i="46"/>
  <c r="E67" i="46" s="1"/>
  <c r="C68" i="46"/>
  <c r="H68" i="46" s="1"/>
  <c r="C69" i="46"/>
  <c r="E69" i="46" s="1"/>
  <c r="C70" i="46"/>
  <c r="H70" i="46" s="1"/>
  <c r="C71" i="46"/>
  <c r="C72" i="46"/>
  <c r="H72" i="46" s="1"/>
  <c r="C73" i="46"/>
  <c r="C74" i="46"/>
  <c r="H74" i="46" s="1"/>
  <c r="C75" i="46"/>
  <c r="C52" i="46"/>
  <c r="H52" i="46" s="1"/>
  <c r="B57" i="46"/>
  <c r="M57" i="46" s="1"/>
  <c r="B58" i="46"/>
  <c r="M58" i="46" s="1"/>
  <c r="B59" i="46"/>
  <c r="M59" i="46" s="1"/>
  <c r="B60" i="46"/>
  <c r="M60" i="46" s="1"/>
  <c r="B61" i="46"/>
  <c r="M61" i="46" s="1"/>
  <c r="B62" i="46"/>
  <c r="M62" i="46" s="1"/>
  <c r="B63" i="46"/>
  <c r="M63" i="46" s="1"/>
  <c r="B64" i="46"/>
  <c r="M64" i="46" s="1"/>
  <c r="B65" i="46"/>
  <c r="M65" i="46" s="1"/>
  <c r="B66" i="46"/>
  <c r="M66" i="46" s="1"/>
  <c r="B67" i="46"/>
  <c r="M67" i="46" s="1"/>
  <c r="B68" i="46"/>
  <c r="M68" i="46" s="1"/>
  <c r="B69" i="46"/>
  <c r="M69" i="46" s="1"/>
  <c r="B70" i="46"/>
  <c r="M70" i="46" s="1"/>
  <c r="B71" i="46"/>
  <c r="M71" i="46" s="1"/>
  <c r="B72" i="46"/>
  <c r="M72" i="46" s="1"/>
  <c r="B73" i="46"/>
  <c r="M73" i="46" s="1"/>
  <c r="B74" i="46"/>
  <c r="M74" i="46" s="1"/>
  <c r="B75" i="46"/>
  <c r="M75" i="46" s="1"/>
  <c r="B54" i="46"/>
  <c r="M54" i="46" s="1"/>
  <c r="B55" i="46"/>
  <c r="M55" i="46" s="1"/>
  <c r="B56" i="46"/>
  <c r="M56" i="46" s="1"/>
  <c r="B53" i="46"/>
  <c r="M53" i="46" s="1"/>
  <c r="B52" i="46"/>
  <c r="M52" i="46" s="1"/>
  <c r="G27" i="46"/>
  <c r="E27" i="46"/>
  <c r="D27" i="46"/>
  <c r="C27" i="46"/>
  <c r="B27" i="46"/>
  <c r="F26" i="46"/>
  <c r="F18" i="46"/>
  <c r="F16" i="46"/>
  <c r="F15" i="46"/>
  <c r="F54" i="46"/>
  <c r="H56" i="46"/>
  <c r="F27" i="46" l="1"/>
  <c r="D54" i="46"/>
  <c r="L54" i="46" s="1"/>
  <c r="G54" i="46"/>
  <c r="H54" i="46"/>
  <c r="E54" i="46"/>
  <c r="D59" i="46"/>
  <c r="L59" i="46" s="1"/>
  <c r="N59" i="46" s="1"/>
  <c r="O59" i="46" s="1"/>
  <c r="G62" i="46"/>
  <c r="H64" i="46"/>
  <c r="G72" i="46"/>
  <c r="F72" i="46"/>
  <c r="D64" i="46"/>
  <c r="L64" i="46" s="1"/>
  <c r="N64" i="46" s="1"/>
  <c r="E64" i="46"/>
  <c r="F64" i="46"/>
  <c r="D56" i="46"/>
  <c r="L56" i="46" s="1"/>
  <c r="N56" i="46" s="1"/>
  <c r="D69" i="46"/>
  <c r="L69" i="46" s="1"/>
  <c r="N69" i="46" s="1"/>
  <c r="E56" i="46"/>
  <c r="H53" i="46"/>
  <c r="G53" i="46"/>
  <c r="F53" i="46"/>
  <c r="G56" i="46"/>
  <c r="F66" i="46"/>
  <c r="H63" i="46"/>
  <c r="G63" i="46"/>
  <c r="F63" i="46"/>
  <c r="G66" i="46"/>
  <c r="E53" i="46"/>
  <c r="D63" i="46"/>
  <c r="L63" i="46" s="1"/>
  <c r="N63" i="46" s="1"/>
  <c r="H73" i="46"/>
  <c r="G73" i="46"/>
  <c r="F73" i="46"/>
  <c r="D60" i="46"/>
  <c r="L60" i="46" s="1"/>
  <c r="N60" i="46" s="1"/>
  <c r="E63" i="46"/>
  <c r="D73" i="46"/>
  <c r="L73" i="46" s="1"/>
  <c r="N73" i="46" s="1"/>
  <c r="E60" i="46"/>
  <c r="D70" i="46"/>
  <c r="L70" i="46" s="1"/>
  <c r="N70" i="46" s="1"/>
  <c r="E73" i="46"/>
  <c r="F60" i="46"/>
  <c r="E70" i="46"/>
  <c r="H57" i="46"/>
  <c r="G57" i="46"/>
  <c r="F57" i="46"/>
  <c r="G60" i="46"/>
  <c r="F70" i="46"/>
  <c r="D57" i="46"/>
  <c r="L57" i="46" s="1"/>
  <c r="N57" i="46" s="1"/>
  <c r="H67" i="46"/>
  <c r="G67" i="46"/>
  <c r="F67" i="46"/>
  <c r="G70" i="46"/>
  <c r="E57" i="46"/>
  <c r="D67" i="46"/>
  <c r="L67" i="46" s="1"/>
  <c r="N67" i="46" s="1"/>
  <c r="D66" i="46"/>
  <c r="L66" i="46" s="1"/>
  <c r="N66" i="46" s="1"/>
  <c r="H69" i="46"/>
  <c r="G69" i="46"/>
  <c r="F69" i="46"/>
  <c r="F56" i="46"/>
  <c r="E66" i="46"/>
  <c r="D53" i="46"/>
  <c r="L53" i="46" s="1"/>
  <c r="N53" i="46" s="1"/>
  <c r="D74" i="46"/>
  <c r="L74" i="46" s="1"/>
  <c r="N74" i="46" s="1"/>
  <c r="E74" i="46"/>
  <c r="H61" i="46"/>
  <c r="G61" i="46"/>
  <c r="F61" i="46"/>
  <c r="F74" i="46"/>
  <c r="D61" i="46"/>
  <c r="L61" i="46" s="1"/>
  <c r="N61" i="46" s="1"/>
  <c r="H71" i="46"/>
  <c r="G71" i="46"/>
  <c r="F71" i="46"/>
  <c r="G74" i="46"/>
  <c r="D58" i="46"/>
  <c r="L58" i="46" s="1"/>
  <c r="N58" i="46" s="1"/>
  <c r="E61" i="46"/>
  <c r="D71" i="46"/>
  <c r="L71" i="46" s="1"/>
  <c r="N71" i="46" s="1"/>
  <c r="E58" i="46"/>
  <c r="D68" i="46"/>
  <c r="L68" i="46" s="1"/>
  <c r="N68" i="46" s="1"/>
  <c r="E71" i="46"/>
  <c r="F58" i="46"/>
  <c r="E68" i="46"/>
  <c r="H55" i="46"/>
  <c r="G55" i="46"/>
  <c r="F55" i="46"/>
  <c r="G58" i="46"/>
  <c r="F68" i="46"/>
  <c r="D55" i="46"/>
  <c r="L55" i="46" s="1"/>
  <c r="N55" i="46" s="1"/>
  <c r="H65" i="46"/>
  <c r="G65" i="46"/>
  <c r="F65" i="46"/>
  <c r="G68" i="46"/>
  <c r="D52" i="46"/>
  <c r="L52" i="46" s="1"/>
  <c r="E55" i="46"/>
  <c r="D65" i="46"/>
  <c r="L65" i="46" s="1"/>
  <c r="N65" i="46" s="1"/>
  <c r="H75" i="46"/>
  <c r="G75" i="46"/>
  <c r="F75" i="46"/>
  <c r="E75" i="46"/>
  <c r="E52" i="46"/>
  <c r="D62" i="46"/>
  <c r="L62" i="46" s="1"/>
  <c r="N62" i="46" s="1"/>
  <c r="E65" i="46"/>
  <c r="D75" i="46"/>
  <c r="L75" i="46" s="1"/>
  <c r="N75" i="46" s="1"/>
  <c r="F52" i="46"/>
  <c r="E62" i="46"/>
  <c r="D72" i="46"/>
  <c r="L72" i="46" s="1"/>
  <c r="N72" i="46" s="1"/>
  <c r="G52" i="46"/>
  <c r="F62" i="46"/>
  <c r="E72" i="46"/>
  <c r="H59" i="46"/>
  <c r="G59" i="46"/>
  <c r="F59" i="46"/>
  <c r="N54" i="46" l="1"/>
  <c r="O54" i="46" s="1"/>
  <c r="O66" i="46"/>
  <c r="O69" i="46"/>
  <c r="O63" i="46"/>
  <c r="O73" i="46"/>
  <c r="O61" i="46"/>
  <c r="O64" i="46"/>
  <c r="O68" i="46"/>
  <c r="N52" i="46"/>
  <c r="O52" i="46" s="1"/>
  <c r="O72" i="46"/>
  <c r="O60" i="46"/>
  <c r="O57" i="46"/>
  <c r="O56" i="46"/>
  <c r="O74" i="46"/>
  <c r="O75" i="46"/>
  <c r="O67" i="46"/>
  <c r="O62" i="46"/>
  <c r="O58" i="46"/>
  <c r="O53" i="46"/>
  <c r="O71" i="46" l="1"/>
  <c r="O55" i="46"/>
  <c r="O65" i="46"/>
  <c r="O70" i="46"/>
</calcChain>
</file>

<file path=xl/sharedStrings.xml><?xml version="1.0" encoding="utf-8"?>
<sst xmlns="http://schemas.openxmlformats.org/spreadsheetml/2006/main" count="74" uniqueCount="47">
  <si>
    <t>Total</t>
  </si>
  <si>
    <t>Altavista</t>
  </si>
  <si>
    <t>Cerro de la silla</t>
  </si>
  <si>
    <t>Estadio</t>
  </si>
  <si>
    <t>Ladrillera</t>
  </si>
  <si>
    <t>LTH</t>
  </si>
  <si>
    <t>Narvarte</t>
  </si>
  <si>
    <t>Primavera 3er Sector</t>
  </si>
  <si>
    <t>Roma</t>
  </si>
  <si>
    <t>Valle Primavera</t>
  </si>
  <si>
    <t>Villa Florida</t>
  </si>
  <si>
    <t>Work</t>
  </si>
  <si>
    <t>Study</t>
  </si>
  <si>
    <t>Fraccionamiento Florida</t>
  </si>
  <si>
    <t>0 to 14</t>
  </si>
  <si>
    <t>15 to 29</t>
  </si>
  <si>
    <t>30 to 59</t>
  </si>
  <si>
    <t>60 and over</t>
  </si>
  <si>
    <t>Study/Work</t>
  </si>
  <si>
    <t>Commercial</t>
  </si>
  <si>
    <t>Ancon del Huajuco</t>
  </si>
  <si>
    <t>Buenos AiresO</t>
  </si>
  <si>
    <t>Jardines de Altavista</t>
  </si>
  <si>
    <t>Mexico</t>
  </si>
  <si>
    <t>Nueva Espana</t>
  </si>
  <si>
    <t>Plaza Revolucion</t>
  </si>
  <si>
    <t>Primavera 1er Sector</t>
  </si>
  <si>
    <t>Residencial Florida</t>
  </si>
  <si>
    <t>Unnamed Area 34 (Tec de Monterrey)</t>
  </si>
  <si>
    <t>Unnamed Area 35</t>
  </si>
  <si>
    <t>Tecnologico District</t>
  </si>
  <si>
    <t>Villa Estadio</t>
  </si>
  <si>
    <t>Unnamed Colony(Urban Village)</t>
  </si>
  <si>
    <t>With disabilities</t>
  </si>
  <si>
    <t>Origins</t>
  </si>
  <si>
    <t>Age</t>
  </si>
  <si>
    <t>Economically active (EAP)</t>
  </si>
  <si>
    <t>Not economically active (NEAP)</t>
  </si>
  <si>
    <t>Upper-secondary students and above</t>
  </si>
  <si>
    <t>Home</t>
  </si>
  <si>
    <t xml:space="preserve">Retired </t>
  </si>
  <si>
    <t>Physical or mental disability</t>
  </si>
  <si>
    <t>Other activities</t>
  </si>
  <si>
    <t>Under 3 years old</t>
  </si>
  <si>
    <t>Kindergarten</t>
  </si>
  <si>
    <t>Primary school</t>
  </si>
  <si>
    <t>Recreation, commerce, and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</si>
</sst>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27" xfId="0" applyBorder="1"/>
    <xf numFmtId="1" fontId="0" fillId="0" borderId="10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4" fillId="4" borderId="28" xfId="0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35</xdr:col>
      <xdr:colOff>186940</xdr:colOff>
      <xdr:row>58</xdr:row>
      <xdr:rowOff>130484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C02488-9B83-4A21-B0B6-EBD38842C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25700" y="0"/>
          <a:ext cx="13064740" cy="101126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2323F-F827-4ED2-9478-C174777FCF69}">
  <dimension ref="A1:O76"/>
  <sheetViews>
    <sheetView tabSelected="1" zoomScaleNormal="100" workbookViewId="0">
      <selection activeCell="D35" sqref="D35"/>
    </sheetView>
  </sheetViews>
  <sheetFormatPr defaultRowHeight="12.5" x14ac:dyDescent="0.25"/>
  <cols>
    <col min="1" max="1" width="33.7265625" customWidth="1"/>
    <col min="2" max="2" width="15.08984375" customWidth="1"/>
    <col min="3" max="3" width="16.6328125" customWidth="1"/>
    <col min="4" max="4" width="12.81640625" customWidth="1"/>
    <col min="5" max="5" width="11.7265625" customWidth="1"/>
    <col min="6" max="6" width="15.08984375" customWidth="1"/>
    <col min="7" max="7" width="13.54296875" customWidth="1"/>
    <col min="8" max="8" width="18.26953125" customWidth="1"/>
    <col min="9" max="9" width="12.36328125" customWidth="1"/>
    <col min="14" max="14" width="14.90625" customWidth="1"/>
    <col min="25" max="25" width="27.26953125" customWidth="1"/>
  </cols>
  <sheetData>
    <row r="1" spans="1:7" ht="13" x14ac:dyDescent="0.25">
      <c r="A1" s="48" t="s">
        <v>34</v>
      </c>
      <c r="B1" s="46" t="s">
        <v>35</v>
      </c>
      <c r="C1" s="47"/>
      <c r="D1" s="47"/>
      <c r="E1" s="48"/>
      <c r="F1" s="50" t="s">
        <v>33</v>
      </c>
      <c r="G1" s="52" t="s">
        <v>0</v>
      </c>
    </row>
    <row r="2" spans="1:7" ht="13.5" thickBot="1" x14ac:dyDescent="0.3">
      <c r="A2" s="49"/>
      <c r="B2" s="13" t="s">
        <v>14</v>
      </c>
      <c r="C2" s="12" t="s">
        <v>15</v>
      </c>
      <c r="D2" s="12" t="s">
        <v>16</v>
      </c>
      <c r="E2" s="22" t="s">
        <v>17</v>
      </c>
      <c r="F2" s="51"/>
      <c r="G2" s="53"/>
    </row>
    <row r="3" spans="1:7" ht="13.5" thickTop="1" x14ac:dyDescent="0.25">
      <c r="A3" s="42" t="s">
        <v>1</v>
      </c>
      <c r="B3" s="11">
        <v>188</v>
      </c>
      <c r="C3" s="10">
        <v>1133</v>
      </c>
      <c r="D3" s="10">
        <v>718</v>
      </c>
      <c r="E3" s="10">
        <v>519</v>
      </c>
      <c r="F3" s="18">
        <v>106</v>
      </c>
      <c r="G3" s="15">
        <v>2565</v>
      </c>
    </row>
    <row r="4" spans="1:7" ht="13" x14ac:dyDescent="0.25">
      <c r="A4" s="9" t="s">
        <v>20</v>
      </c>
      <c r="B4" s="5">
        <v>0</v>
      </c>
      <c r="C4" s="4">
        <v>2</v>
      </c>
      <c r="D4" s="4">
        <v>3</v>
      </c>
      <c r="E4" s="4">
        <v>6</v>
      </c>
      <c r="F4" s="6">
        <v>0</v>
      </c>
      <c r="G4" s="16">
        <v>11</v>
      </c>
    </row>
    <row r="5" spans="1:7" ht="13" x14ac:dyDescent="0.25">
      <c r="A5" s="9" t="s">
        <v>21</v>
      </c>
      <c r="B5" s="5">
        <v>28</v>
      </c>
      <c r="C5" s="4">
        <v>326</v>
      </c>
      <c r="D5" s="4">
        <v>154</v>
      </c>
      <c r="E5" s="4">
        <v>108</v>
      </c>
      <c r="F5" s="6">
        <v>25</v>
      </c>
      <c r="G5" s="16">
        <v>627</v>
      </c>
    </row>
    <row r="6" spans="1:7" ht="13" x14ac:dyDescent="0.25">
      <c r="A6" s="9" t="s">
        <v>2</v>
      </c>
      <c r="B6" s="5">
        <v>85</v>
      </c>
      <c r="C6" s="4">
        <v>290</v>
      </c>
      <c r="D6" s="4">
        <v>319</v>
      </c>
      <c r="E6" s="4">
        <v>180</v>
      </c>
      <c r="F6" s="6">
        <v>48</v>
      </c>
      <c r="G6" s="16">
        <v>880</v>
      </c>
    </row>
    <row r="7" spans="1:7" ht="13" x14ac:dyDescent="0.25">
      <c r="A7" s="9" t="s">
        <v>3</v>
      </c>
      <c r="B7" s="5">
        <v>91</v>
      </c>
      <c r="C7" s="4">
        <v>290</v>
      </c>
      <c r="D7" s="4">
        <v>399</v>
      </c>
      <c r="E7" s="4">
        <v>280</v>
      </c>
      <c r="F7" s="6">
        <v>45</v>
      </c>
      <c r="G7" s="16">
        <v>1064</v>
      </c>
    </row>
    <row r="8" spans="1:7" ht="13" x14ac:dyDescent="0.25">
      <c r="A8" s="9" t="s">
        <v>22</v>
      </c>
      <c r="B8" s="5">
        <v>45</v>
      </c>
      <c r="C8" s="4">
        <v>185</v>
      </c>
      <c r="D8" s="4">
        <v>151</v>
      </c>
      <c r="E8" s="4">
        <v>116</v>
      </c>
      <c r="F8" s="6">
        <v>19</v>
      </c>
      <c r="G8" s="16">
        <v>498</v>
      </c>
    </row>
    <row r="9" spans="1:7" ht="13" x14ac:dyDescent="0.25">
      <c r="A9" s="9" t="s">
        <v>13</v>
      </c>
      <c r="B9" s="5">
        <v>184</v>
      </c>
      <c r="C9" s="4">
        <v>307</v>
      </c>
      <c r="D9" s="4">
        <v>564</v>
      </c>
      <c r="E9" s="4">
        <v>485</v>
      </c>
      <c r="F9" s="6">
        <v>81</v>
      </c>
      <c r="G9" s="16">
        <v>1549</v>
      </c>
    </row>
    <row r="10" spans="1:7" ht="13" x14ac:dyDescent="0.25">
      <c r="A10" s="9" t="s">
        <v>4</v>
      </c>
      <c r="B10" s="5">
        <v>63</v>
      </c>
      <c r="C10" s="4">
        <v>139</v>
      </c>
      <c r="D10" s="4">
        <v>197</v>
      </c>
      <c r="E10" s="4">
        <v>87</v>
      </c>
      <c r="F10" s="6">
        <v>23</v>
      </c>
      <c r="G10" s="16">
        <v>490</v>
      </c>
    </row>
    <row r="11" spans="1:7" ht="13" x14ac:dyDescent="0.25">
      <c r="A11" s="9" t="s">
        <v>5</v>
      </c>
      <c r="B11" s="5">
        <v>15</v>
      </c>
      <c r="C11" s="4">
        <v>44</v>
      </c>
      <c r="D11" s="4">
        <v>76</v>
      </c>
      <c r="E11" s="4">
        <v>79</v>
      </c>
      <c r="F11" s="6">
        <v>17</v>
      </c>
      <c r="G11" s="16">
        <v>216</v>
      </c>
    </row>
    <row r="12" spans="1:7" ht="13" x14ac:dyDescent="0.25">
      <c r="A12" s="9" t="s">
        <v>23</v>
      </c>
      <c r="B12" s="5">
        <v>82</v>
      </c>
      <c r="C12" s="4">
        <v>334</v>
      </c>
      <c r="D12" s="4">
        <v>463</v>
      </c>
      <c r="E12" s="4">
        <v>258</v>
      </c>
      <c r="F12" s="6">
        <v>44</v>
      </c>
      <c r="G12" s="16">
        <v>1155</v>
      </c>
    </row>
    <row r="13" spans="1:7" ht="13" x14ac:dyDescent="0.25">
      <c r="A13" s="9" t="s">
        <v>6</v>
      </c>
      <c r="B13" s="5">
        <v>116</v>
      </c>
      <c r="C13" s="4">
        <v>333</v>
      </c>
      <c r="D13" s="4">
        <v>410</v>
      </c>
      <c r="E13" s="4">
        <v>275</v>
      </c>
      <c r="F13" s="6">
        <v>39</v>
      </c>
      <c r="G13" s="16">
        <v>1136</v>
      </c>
    </row>
    <row r="14" spans="1:7" ht="13" x14ac:dyDescent="0.25">
      <c r="A14" s="9" t="s">
        <v>24</v>
      </c>
      <c r="B14" s="5">
        <v>28</v>
      </c>
      <c r="C14" s="4">
        <v>152</v>
      </c>
      <c r="D14" s="4">
        <v>149</v>
      </c>
      <c r="E14" s="4">
        <v>86</v>
      </c>
      <c r="F14" s="6">
        <v>15</v>
      </c>
      <c r="G14" s="16">
        <v>425</v>
      </c>
    </row>
    <row r="15" spans="1:7" ht="13" x14ac:dyDescent="0.25">
      <c r="A15" s="9" t="s">
        <v>25</v>
      </c>
      <c r="B15" s="5">
        <v>31</v>
      </c>
      <c r="C15" s="4">
        <v>160</v>
      </c>
      <c r="D15" s="4">
        <v>185</v>
      </c>
      <c r="E15" s="4">
        <v>87</v>
      </c>
      <c r="F15" s="6">
        <f t="shared" ref="F15:F16" si="0">G15-(B15+C15+D15+E15)</f>
        <v>10</v>
      </c>
      <c r="G15" s="16">
        <v>473</v>
      </c>
    </row>
    <row r="16" spans="1:7" ht="13" x14ac:dyDescent="0.25">
      <c r="A16" s="9" t="s">
        <v>26</v>
      </c>
      <c r="B16" s="5">
        <v>156</v>
      </c>
      <c r="C16" s="4">
        <v>492</v>
      </c>
      <c r="D16" s="4">
        <v>635</v>
      </c>
      <c r="E16" s="4">
        <v>543</v>
      </c>
      <c r="F16" s="6">
        <f t="shared" si="0"/>
        <v>7</v>
      </c>
      <c r="G16" s="16">
        <v>1833</v>
      </c>
    </row>
    <row r="17" spans="1:7" ht="13" x14ac:dyDescent="0.25">
      <c r="A17" s="9" t="s">
        <v>7</v>
      </c>
      <c r="B17" s="5">
        <v>60</v>
      </c>
      <c r="C17" s="4">
        <v>114</v>
      </c>
      <c r="D17" s="4">
        <v>216</v>
      </c>
      <c r="E17" s="4">
        <v>204</v>
      </c>
      <c r="F17" s="6">
        <v>16</v>
      </c>
      <c r="G17" s="16">
        <v>598</v>
      </c>
    </row>
    <row r="18" spans="1:7" ht="13" x14ac:dyDescent="0.25">
      <c r="A18" s="9" t="s">
        <v>27</v>
      </c>
      <c r="B18" s="5">
        <v>119</v>
      </c>
      <c r="C18" s="4">
        <v>307</v>
      </c>
      <c r="D18" s="4">
        <v>418</v>
      </c>
      <c r="E18" s="4">
        <v>386</v>
      </c>
      <c r="F18" s="6">
        <f t="shared" ref="F18" si="1">G18-(B18+C18+D18+E18)</f>
        <v>5</v>
      </c>
      <c r="G18" s="16">
        <v>1235</v>
      </c>
    </row>
    <row r="19" spans="1:7" ht="13" x14ac:dyDescent="0.25">
      <c r="A19" s="9" t="s">
        <v>8</v>
      </c>
      <c r="B19" s="5">
        <v>172</v>
      </c>
      <c r="C19" s="4">
        <v>401</v>
      </c>
      <c r="D19" s="4">
        <v>740</v>
      </c>
      <c r="E19" s="4">
        <v>486</v>
      </c>
      <c r="F19" s="6">
        <v>126</v>
      </c>
      <c r="G19" s="16">
        <v>1812</v>
      </c>
    </row>
    <row r="20" spans="1:7" ht="13" x14ac:dyDescent="0.25">
      <c r="A20" s="9" t="s">
        <v>28</v>
      </c>
      <c r="B20" s="5">
        <v>22</v>
      </c>
      <c r="C20" s="4">
        <v>107</v>
      </c>
      <c r="D20" s="4">
        <v>82</v>
      </c>
      <c r="E20" s="4">
        <v>32</v>
      </c>
      <c r="F20" s="6">
        <v>7</v>
      </c>
      <c r="G20" s="16">
        <v>499</v>
      </c>
    </row>
    <row r="21" spans="1:7" ht="13" x14ac:dyDescent="0.25">
      <c r="A21" s="9" t="s">
        <v>29</v>
      </c>
      <c r="B21" s="5">
        <v>441</v>
      </c>
      <c r="C21" s="4">
        <v>1105</v>
      </c>
      <c r="D21" s="4">
        <v>1398</v>
      </c>
      <c r="E21" s="4">
        <v>651</v>
      </c>
      <c r="F21" s="6">
        <v>141</v>
      </c>
      <c r="G21" s="16">
        <v>3595</v>
      </c>
    </row>
    <row r="22" spans="1:7" ht="13" x14ac:dyDescent="0.25">
      <c r="A22" s="9" t="s">
        <v>30</v>
      </c>
      <c r="B22" s="5">
        <v>177</v>
      </c>
      <c r="C22" s="4">
        <v>1620</v>
      </c>
      <c r="D22" s="4">
        <v>1056</v>
      </c>
      <c r="E22" s="4">
        <v>338</v>
      </c>
      <c r="F22" s="6">
        <v>137</v>
      </c>
      <c r="G22" s="16">
        <v>3193</v>
      </c>
    </row>
    <row r="23" spans="1:7" ht="13" x14ac:dyDescent="0.25">
      <c r="A23" s="9" t="s">
        <v>9</v>
      </c>
      <c r="B23" s="5">
        <v>39</v>
      </c>
      <c r="C23" s="4">
        <v>219</v>
      </c>
      <c r="D23" s="4">
        <v>178</v>
      </c>
      <c r="E23" s="4">
        <v>109</v>
      </c>
      <c r="F23" s="6">
        <v>17</v>
      </c>
      <c r="G23" s="16">
        <v>547</v>
      </c>
    </row>
    <row r="24" spans="1:7" ht="13" x14ac:dyDescent="0.25">
      <c r="A24" s="9" t="s">
        <v>31</v>
      </c>
      <c r="B24" s="5">
        <v>14</v>
      </c>
      <c r="C24" s="4">
        <v>553</v>
      </c>
      <c r="D24" s="4">
        <v>150</v>
      </c>
      <c r="E24" s="4">
        <v>99</v>
      </c>
      <c r="F24" s="6">
        <v>22</v>
      </c>
      <c r="G24" s="16">
        <v>821</v>
      </c>
    </row>
    <row r="25" spans="1:7" ht="13" x14ac:dyDescent="0.25">
      <c r="A25" s="9" t="s">
        <v>10</v>
      </c>
      <c r="B25" s="5">
        <v>91</v>
      </c>
      <c r="C25" s="4">
        <v>259</v>
      </c>
      <c r="D25" s="4">
        <v>412</v>
      </c>
      <c r="E25" s="4">
        <v>292</v>
      </c>
      <c r="F25" s="6">
        <v>31</v>
      </c>
      <c r="G25" s="16">
        <v>1060</v>
      </c>
    </row>
    <row r="26" spans="1:7" ht="13.5" thickBot="1" x14ac:dyDescent="0.3">
      <c r="A26" s="14" t="s">
        <v>32</v>
      </c>
      <c r="B26" s="7">
        <v>6</v>
      </c>
      <c r="C26" s="8">
        <v>16</v>
      </c>
      <c r="D26" s="8">
        <v>37</v>
      </c>
      <c r="E26" s="8">
        <v>30</v>
      </c>
      <c r="F26" s="19">
        <f t="shared" ref="F26" si="2">G26-(B26+C26+D26+E26)</f>
        <v>0</v>
      </c>
      <c r="G26" s="17">
        <v>89</v>
      </c>
    </row>
    <row r="27" spans="1:7" ht="15" thickTop="1" x14ac:dyDescent="0.25">
      <c r="A27" s="25"/>
      <c r="B27" s="23">
        <f t="shared" ref="B27:G27" si="3">SUM(B3:B26)</f>
        <v>2253</v>
      </c>
      <c r="C27" s="24">
        <f t="shared" si="3"/>
        <v>8888</v>
      </c>
      <c r="D27" s="24">
        <f t="shared" si="3"/>
        <v>9110</v>
      </c>
      <c r="E27" s="24">
        <f t="shared" si="3"/>
        <v>5736</v>
      </c>
      <c r="F27" s="56">
        <f t="shared" si="3"/>
        <v>981</v>
      </c>
      <c r="G27" s="54">
        <f t="shared" si="3"/>
        <v>26371</v>
      </c>
    </row>
    <row r="28" spans="1:7" ht="13" thickBot="1" x14ac:dyDescent="0.3">
      <c r="A28" s="26"/>
      <c r="B28" s="7" t="s">
        <v>12</v>
      </c>
      <c r="C28" s="8" t="s">
        <v>18</v>
      </c>
      <c r="D28" s="8" t="s">
        <v>11</v>
      </c>
      <c r="E28" s="8" t="s">
        <v>19</v>
      </c>
      <c r="F28" s="57"/>
      <c r="G28" s="55"/>
    </row>
    <row r="29" spans="1:7" ht="13" thickTop="1" x14ac:dyDescent="0.25"/>
    <row r="50" spans="1:15" ht="13" thickBot="1" x14ac:dyDescent="0.3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</row>
    <row r="51" spans="1:15" ht="51" thickTop="1" thickBot="1" x14ac:dyDescent="0.3">
      <c r="A51" s="45" t="s">
        <v>34</v>
      </c>
      <c r="B51" s="41" t="s">
        <v>36</v>
      </c>
      <c r="C51" s="40" t="s">
        <v>37</v>
      </c>
      <c r="D51" s="39" t="s">
        <v>38</v>
      </c>
      <c r="E51" s="39" t="s">
        <v>39</v>
      </c>
      <c r="F51" s="39" t="s">
        <v>40</v>
      </c>
      <c r="G51" s="39" t="s">
        <v>41</v>
      </c>
      <c r="H51" s="39" t="s">
        <v>42</v>
      </c>
      <c r="I51" s="39" t="s">
        <v>43</v>
      </c>
      <c r="J51" s="39" t="s">
        <v>44</v>
      </c>
      <c r="K51" s="39" t="s">
        <v>45</v>
      </c>
      <c r="L51" s="38" t="s">
        <v>12</v>
      </c>
      <c r="M51" s="38" t="s">
        <v>11</v>
      </c>
      <c r="N51" s="38" t="s">
        <v>46</v>
      </c>
    </row>
    <row r="52" spans="1:15" ht="13.5" thickTop="1" x14ac:dyDescent="0.25">
      <c r="A52" s="43" t="s">
        <v>1</v>
      </c>
      <c r="B52" s="34">
        <f t="shared" ref="B52:B75" si="4">SUM(C3:E3)*0.6</f>
        <v>1422</v>
      </c>
      <c r="C52" s="35">
        <f t="shared" ref="C52:C75" si="5">G3*0.4</f>
        <v>1026</v>
      </c>
      <c r="D52" s="35">
        <f t="shared" ref="D52:D75" si="6">C52*0.32</f>
        <v>328.32</v>
      </c>
      <c r="E52" s="35">
        <f t="shared" ref="E52:E75" si="7">C52*0.379</f>
        <v>388.85399999999998</v>
      </c>
      <c r="F52" s="35">
        <f t="shared" ref="F52:F75" si="8">C52*0.194</f>
        <v>199.04400000000001</v>
      </c>
      <c r="G52" s="35">
        <f t="shared" ref="G52:G75" si="9">C52*0.023</f>
        <v>23.597999999999999</v>
      </c>
      <c r="H52" s="35">
        <f t="shared" ref="H52:H75" si="10">C52*0.084</f>
        <v>86.184000000000012</v>
      </c>
      <c r="I52" s="35">
        <f>B3/3</f>
        <v>62.666666666666664</v>
      </c>
      <c r="J52" s="35">
        <f t="shared" ref="J52:J75" si="11">(0.658*B3)/3</f>
        <v>41.234666666666669</v>
      </c>
      <c r="K52" s="35">
        <f t="shared" ref="K52:K75" si="12">(0.943*B3)/3</f>
        <v>59.094666666666662</v>
      </c>
      <c r="L52" s="36">
        <f t="shared" ref="L52:L75" si="13">(D52+J52+K52)/G3</f>
        <v>0.16711474983755686</v>
      </c>
      <c r="M52" s="36">
        <f t="shared" ref="M52:M75" si="14">B52/G3</f>
        <v>0.55438596491228065</v>
      </c>
      <c r="N52" s="37">
        <f>1-(M52+L52)</f>
        <v>0.27849928525016243</v>
      </c>
      <c r="O52" s="3">
        <f t="shared" ref="O52:O75" si="15">SUM(L52:N52)</f>
        <v>1</v>
      </c>
    </row>
    <row r="53" spans="1:15" ht="13" x14ac:dyDescent="0.25">
      <c r="A53" s="44" t="s">
        <v>20</v>
      </c>
      <c r="B53" s="27">
        <f t="shared" si="4"/>
        <v>6.6</v>
      </c>
      <c r="C53" s="1">
        <f t="shared" si="5"/>
        <v>4.4000000000000004</v>
      </c>
      <c r="D53" s="1">
        <f t="shared" si="6"/>
        <v>1.4080000000000001</v>
      </c>
      <c r="E53" s="1">
        <f t="shared" si="7"/>
        <v>1.6676000000000002</v>
      </c>
      <c r="F53" s="1">
        <f t="shared" si="8"/>
        <v>0.85360000000000014</v>
      </c>
      <c r="G53" s="1">
        <f t="shared" si="9"/>
        <v>0.10120000000000001</v>
      </c>
      <c r="H53" s="1">
        <f t="shared" si="10"/>
        <v>0.36960000000000004</v>
      </c>
      <c r="I53" s="1">
        <f t="shared" ref="I53:I75" si="16">B4/3</f>
        <v>0</v>
      </c>
      <c r="J53" s="1">
        <f t="shared" si="11"/>
        <v>0</v>
      </c>
      <c r="K53" s="1">
        <f t="shared" si="12"/>
        <v>0</v>
      </c>
      <c r="L53" s="2">
        <f t="shared" si="13"/>
        <v>0.128</v>
      </c>
      <c r="M53" s="2">
        <f t="shared" si="14"/>
        <v>0.6</v>
      </c>
      <c r="N53" s="31">
        <f t="shared" ref="N53:N75" si="17">1-(M53+L53)</f>
        <v>0.27200000000000002</v>
      </c>
      <c r="O53" s="3">
        <f t="shared" si="15"/>
        <v>1</v>
      </c>
    </row>
    <row r="54" spans="1:15" ht="13" x14ac:dyDescent="0.25">
      <c r="A54" s="44" t="s">
        <v>21</v>
      </c>
      <c r="B54" s="27">
        <f t="shared" si="4"/>
        <v>352.8</v>
      </c>
      <c r="C54" s="1">
        <f t="shared" si="5"/>
        <v>250.8</v>
      </c>
      <c r="D54" s="1">
        <f t="shared" si="6"/>
        <v>80.256</v>
      </c>
      <c r="E54" s="1">
        <f t="shared" si="7"/>
        <v>95.053200000000004</v>
      </c>
      <c r="F54" s="1">
        <f t="shared" si="8"/>
        <v>48.655200000000001</v>
      </c>
      <c r="G54" s="1">
        <f t="shared" si="9"/>
        <v>5.7683999999999997</v>
      </c>
      <c r="H54" s="1">
        <f t="shared" si="10"/>
        <v>21.067200000000003</v>
      </c>
      <c r="I54" s="1">
        <f t="shared" si="16"/>
        <v>9.3333333333333339</v>
      </c>
      <c r="J54" s="1">
        <f t="shared" si="11"/>
        <v>6.1413333333333329</v>
      </c>
      <c r="K54" s="1">
        <f t="shared" si="12"/>
        <v>8.8013333333333339</v>
      </c>
      <c r="L54" s="2">
        <f t="shared" si="13"/>
        <v>0.15183200425305687</v>
      </c>
      <c r="M54" s="2">
        <f t="shared" si="14"/>
        <v>0.56267942583732056</v>
      </c>
      <c r="N54" s="31">
        <f t="shared" si="17"/>
        <v>0.28548856990962257</v>
      </c>
      <c r="O54" s="3">
        <f t="shared" si="15"/>
        <v>1</v>
      </c>
    </row>
    <row r="55" spans="1:15" ht="13" x14ac:dyDescent="0.25">
      <c r="A55" s="44" t="s">
        <v>2</v>
      </c>
      <c r="B55" s="27">
        <f t="shared" si="4"/>
        <v>473.4</v>
      </c>
      <c r="C55" s="1">
        <f t="shared" si="5"/>
        <v>352</v>
      </c>
      <c r="D55" s="1">
        <f t="shared" si="6"/>
        <v>112.64</v>
      </c>
      <c r="E55" s="1">
        <f t="shared" si="7"/>
        <v>133.40800000000002</v>
      </c>
      <c r="F55" s="1">
        <f t="shared" si="8"/>
        <v>68.287999999999997</v>
      </c>
      <c r="G55" s="1">
        <f t="shared" si="9"/>
        <v>8.0960000000000001</v>
      </c>
      <c r="H55" s="1">
        <f t="shared" si="10"/>
        <v>29.568000000000001</v>
      </c>
      <c r="I55" s="1">
        <f t="shared" si="16"/>
        <v>28.333333333333332</v>
      </c>
      <c r="J55" s="1">
        <f t="shared" si="11"/>
        <v>18.643333333333334</v>
      </c>
      <c r="K55" s="1">
        <f t="shared" si="12"/>
        <v>26.718333333333334</v>
      </c>
      <c r="L55" s="2">
        <f t="shared" si="13"/>
        <v>0.17954734848484849</v>
      </c>
      <c r="M55" s="2">
        <f t="shared" si="14"/>
        <v>0.53795454545454546</v>
      </c>
      <c r="N55" s="31">
        <f t="shared" si="17"/>
        <v>0.28249810606060599</v>
      </c>
      <c r="O55" s="3">
        <f t="shared" si="15"/>
        <v>1</v>
      </c>
    </row>
    <row r="56" spans="1:15" ht="13" x14ac:dyDescent="0.25">
      <c r="A56" s="44" t="s">
        <v>3</v>
      </c>
      <c r="B56" s="27">
        <f t="shared" si="4"/>
        <v>581.4</v>
      </c>
      <c r="C56" s="1">
        <f t="shared" si="5"/>
        <v>425.6</v>
      </c>
      <c r="D56" s="1">
        <f t="shared" si="6"/>
        <v>136.19200000000001</v>
      </c>
      <c r="E56" s="1">
        <f t="shared" si="7"/>
        <v>161.30240000000001</v>
      </c>
      <c r="F56" s="1">
        <f t="shared" si="8"/>
        <v>82.566400000000002</v>
      </c>
      <c r="G56" s="1">
        <f t="shared" si="9"/>
        <v>9.7888000000000002</v>
      </c>
      <c r="H56" s="1">
        <f t="shared" si="10"/>
        <v>35.750400000000006</v>
      </c>
      <c r="I56" s="1">
        <f t="shared" si="16"/>
        <v>30.333333333333332</v>
      </c>
      <c r="J56" s="1">
        <f t="shared" si="11"/>
        <v>19.959333333333333</v>
      </c>
      <c r="K56" s="1">
        <f t="shared" si="12"/>
        <v>28.604333333333333</v>
      </c>
      <c r="L56" s="2">
        <f t="shared" si="13"/>
        <v>0.17364254385964914</v>
      </c>
      <c r="M56" s="2">
        <f t="shared" si="14"/>
        <v>0.54642857142857137</v>
      </c>
      <c r="N56" s="31">
        <f t="shared" si="17"/>
        <v>0.27992888471177946</v>
      </c>
      <c r="O56" s="3">
        <f t="shared" si="15"/>
        <v>1</v>
      </c>
    </row>
    <row r="57" spans="1:15" ht="13" x14ac:dyDescent="0.25">
      <c r="A57" s="44" t="s">
        <v>22</v>
      </c>
      <c r="B57" s="27">
        <f t="shared" si="4"/>
        <v>271.2</v>
      </c>
      <c r="C57" s="1">
        <f t="shared" si="5"/>
        <v>199.20000000000002</v>
      </c>
      <c r="D57" s="1">
        <f t="shared" si="6"/>
        <v>63.744000000000007</v>
      </c>
      <c r="E57" s="1">
        <f t="shared" si="7"/>
        <v>75.496800000000007</v>
      </c>
      <c r="F57" s="1">
        <f t="shared" si="8"/>
        <v>38.644800000000004</v>
      </c>
      <c r="G57" s="1">
        <f t="shared" si="9"/>
        <v>4.5815999999999999</v>
      </c>
      <c r="H57" s="1">
        <f t="shared" si="10"/>
        <v>16.732800000000001</v>
      </c>
      <c r="I57" s="1">
        <f t="shared" si="16"/>
        <v>15</v>
      </c>
      <c r="J57" s="1">
        <f t="shared" si="11"/>
        <v>9.870000000000001</v>
      </c>
      <c r="K57" s="1">
        <f t="shared" si="12"/>
        <v>14.144999999999998</v>
      </c>
      <c r="L57" s="2">
        <f t="shared" si="13"/>
        <v>0.17622289156626506</v>
      </c>
      <c r="M57" s="2">
        <f t="shared" si="14"/>
        <v>0.54457831325301198</v>
      </c>
      <c r="N57" s="31">
        <f t="shared" si="17"/>
        <v>0.27919879518072299</v>
      </c>
      <c r="O57" s="3">
        <f t="shared" si="15"/>
        <v>1</v>
      </c>
    </row>
    <row r="58" spans="1:15" ht="13" x14ac:dyDescent="0.25">
      <c r="A58" s="20" t="s">
        <v>13</v>
      </c>
      <c r="B58" s="27">
        <f t="shared" si="4"/>
        <v>813.6</v>
      </c>
      <c r="C58" s="1">
        <f t="shared" si="5"/>
        <v>619.6</v>
      </c>
      <c r="D58" s="1">
        <f t="shared" si="6"/>
        <v>198.27200000000002</v>
      </c>
      <c r="E58" s="1">
        <f t="shared" si="7"/>
        <v>234.82840000000002</v>
      </c>
      <c r="F58" s="1">
        <f t="shared" si="8"/>
        <v>120.20240000000001</v>
      </c>
      <c r="G58" s="1">
        <f t="shared" si="9"/>
        <v>14.2508</v>
      </c>
      <c r="H58" s="1">
        <f t="shared" si="10"/>
        <v>52.046400000000006</v>
      </c>
      <c r="I58" s="1">
        <f t="shared" si="16"/>
        <v>61.333333333333336</v>
      </c>
      <c r="J58" s="1">
        <f t="shared" si="11"/>
        <v>40.357333333333337</v>
      </c>
      <c r="K58" s="1">
        <f t="shared" si="12"/>
        <v>57.837333333333333</v>
      </c>
      <c r="L58" s="2">
        <f t="shared" si="13"/>
        <v>0.19139229610501401</v>
      </c>
      <c r="M58" s="2">
        <f t="shared" si="14"/>
        <v>0.5252420916720465</v>
      </c>
      <c r="N58" s="31">
        <f t="shared" si="17"/>
        <v>0.28336561222293954</v>
      </c>
      <c r="O58" s="3">
        <f t="shared" si="15"/>
        <v>1</v>
      </c>
    </row>
    <row r="59" spans="1:15" ht="13" x14ac:dyDescent="0.25">
      <c r="A59" s="43" t="s">
        <v>4</v>
      </c>
      <c r="B59" s="27">
        <f t="shared" si="4"/>
        <v>253.79999999999998</v>
      </c>
      <c r="C59" s="1">
        <f t="shared" si="5"/>
        <v>196</v>
      </c>
      <c r="D59" s="1">
        <f t="shared" si="6"/>
        <v>62.72</v>
      </c>
      <c r="E59" s="1">
        <f t="shared" si="7"/>
        <v>74.284000000000006</v>
      </c>
      <c r="F59" s="1">
        <f t="shared" si="8"/>
        <v>38.024000000000001</v>
      </c>
      <c r="G59" s="1">
        <f t="shared" si="9"/>
        <v>4.508</v>
      </c>
      <c r="H59" s="1">
        <f t="shared" si="10"/>
        <v>16.464000000000002</v>
      </c>
      <c r="I59" s="1">
        <f t="shared" si="16"/>
        <v>21</v>
      </c>
      <c r="J59" s="1">
        <f t="shared" si="11"/>
        <v>13.818</v>
      </c>
      <c r="K59" s="1">
        <f t="shared" si="12"/>
        <v>19.803000000000001</v>
      </c>
      <c r="L59" s="2">
        <f t="shared" si="13"/>
        <v>0.19661428571428571</v>
      </c>
      <c r="M59" s="2">
        <f t="shared" si="14"/>
        <v>0.51795918367346938</v>
      </c>
      <c r="N59" s="31">
        <f t="shared" si="17"/>
        <v>0.28542653061224488</v>
      </c>
      <c r="O59" s="3">
        <f t="shared" si="15"/>
        <v>1</v>
      </c>
    </row>
    <row r="60" spans="1:15" ht="13" x14ac:dyDescent="0.25">
      <c r="A60" s="20" t="s">
        <v>5</v>
      </c>
      <c r="B60" s="27">
        <f t="shared" si="4"/>
        <v>119.39999999999999</v>
      </c>
      <c r="C60" s="1">
        <f t="shared" si="5"/>
        <v>86.4</v>
      </c>
      <c r="D60" s="1">
        <f t="shared" si="6"/>
        <v>27.648000000000003</v>
      </c>
      <c r="E60" s="1">
        <f t="shared" si="7"/>
        <v>32.745600000000003</v>
      </c>
      <c r="F60" s="1">
        <f t="shared" si="8"/>
        <v>16.761600000000001</v>
      </c>
      <c r="G60" s="1">
        <f t="shared" si="9"/>
        <v>1.9872000000000001</v>
      </c>
      <c r="H60" s="1">
        <f t="shared" si="10"/>
        <v>7.2576000000000009</v>
      </c>
      <c r="I60" s="1">
        <f t="shared" si="16"/>
        <v>5</v>
      </c>
      <c r="J60" s="1">
        <f t="shared" si="11"/>
        <v>3.2900000000000005</v>
      </c>
      <c r="K60" s="1">
        <f t="shared" si="12"/>
        <v>4.7149999999999999</v>
      </c>
      <c r="L60" s="2">
        <f t="shared" si="13"/>
        <v>0.1650601851851852</v>
      </c>
      <c r="M60" s="2">
        <f t="shared" si="14"/>
        <v>0.5527777777777777</v>
      </c>
      <c r="N60" s="31">
        <f t="shared" si="17"/>
        <v>0.28216203703703713</v>
      </c>
      <c r="O60" s="3">
        <f t="shared" si="15"/>
        <v>1</v>
      </c>
    </row>
    <row r="61" spans="1:15" ht="13" x14ac:dyDescent="0.25">
      <c r="A61" s="20" t="s">
        <v>23</v>
      </c>
      <c r="B61" s="27">
        <f t="shared" si="4"/>
        <v>633</v>
      </c>
      <c r="C61" s="1">
        <f t="shared" si="5"/>
        <v>462</v>
      </c>
      <c r="D61" s="1">
        <f t="shared" si="6"/>
        <v>147.84</v>
      </c>
      <c r="E61" s="1">
        <f t="shared" si="7"/>
        <v>175.09800000000001</v>
      </c>
      <c r="F61" s="1">
        <f t="shared" si="8"/>
        <v>89.628</v>
      </c>
      <c r="G61" s="1">
        <f t="shared" si="9"/>
        <v>10.625999999999999</v>
      </c>
      <c r="H61" s="1">
        <f t="shared" si="10"/>
        <v>38.808</v>
      </c>
      <c r="I61" s="1">
        <f t="shared" si="16"/>
        <v>27.333333333333332</v>
      </c>
      <c r="J61" s="1">
        <f t="shared" si="11"/>
        <v>17.985333333333333</v>
      </c>
      <c r="K61" s="1">
        <f t="shared" si="12"/>
        <v>25.775333333333332</v>
      </c>
      <c r="L61" s="2">
        <f t="shared" si="13"/>
        <v>0.16588802308802308</v>
      </c>
      <c r="M61" s="2">
        <f t="shared" si="14"/>
        <v>0.54805194805194801</v>
      </c>
      <c r="N61" s="31">
        <f t="shared" si="17"/>
        <v>0.2860600288600289</v>
      </c>
      <c r="O61" s="3">
        <f t="shared" si="15"/>
        <v>1</v>
      </c>
    </row>
    <row r="62" spans="1:15" ht="13" x14ac:dyDescent="0.25">
      <c r="A62" s="20" t="s">
        <v>6</v>
      </c>
      <c r="B62" s="27">
        <f t="shared" si="4"/>
        <v>610.79999999999995</v>
      </c>
      <c r="C62" s="1">
        <f t="shared" si="5"/>
        <v>454.40000000000003</v>
      </c>
      <c r="D62" s="1">
        <f t="shared" si="6"/>
        <v>145.40800000000002</v>
      </c>
      <c r="E62" s="1">
        <f t="shared" si="7"/>
        <v>172.2176</v>
      </c>
      <c r="F62" s="1">
        <f t="shared" si="8"/>
        <v>88.153600000000012</v>
      </c>
      <c r="G62" s="1">
        <f t="shared" si="9"/>
        <v>10.4512</v>
      </c>
      <c r="H62" s="1">
        <f t="shared" si="10"/>
        <v>38.169600000000003</v>
      </c>
      <c r="I62" s="1">
        <f t="shared" si="16"/>
        <v>38.666666666666664</v>
      </c>
      <c r="J62" s="1">
        <f t="shared" si="11"/>
        <v>25.442666666666668</v>
      </c>
      <c r="K62" s="1">
        <f t="shared" si="12"/>
        <v>36.462666666666664</v>
      </c>
      <c r="L62" s="2">
        <f t="shared" si="13"/>
        <v>0.18249413145539906</v>
      </c>
      <c r="M62" s="2">
        <f t="shared" si="14"/>
        <v>0.53767605633802817</v>
      </c>
      <c r="N62" s="31">
        <f t="shared" si="17"/>
        <v>0.27982981220657277</v>
      </c>
      <c r="O62" s="3">
        <f t="shared" si="15"/>
        <v>1</v>
      </c>
    </row>
    <row r="63" spans="1:15" ht="13" x14ac:dyDescent="0.25">
      <c r="A63" s="43" t="s">
        <v>24</v>
      </c>
      <c r="B63" s="27">
        <f t="shared" si="4"/>
        <v>232.2</v>
      </c>
      <c r="C63" s="1">
        <f t="shared" si="5"/>
        <v>170</v>
      </c>
      <c r="D63" s="1">
        <f t="shared" si="6"/>
        <v>54.4</v>
      </c>
      <c r="E63" s="1">
        <f t="shared" si="7"/>
        <v>64.430000000000007</v>
      </c>
      <c r="F63" s="1">
        <f t="shared" si="8"/>
        <v>32.980000000000004</v>
      </c>
      <c r="G63" s="1">
        <f t="shared" si="9"/>
        <v>3.91</v>
      </c>
      <c r="H63" s="1">
        <f t="shared" si="10"/>
        <v>14.280000000000001</v>
      </c>
      <c r="I63" s="1">
        <f t="shared" si="16"/>
        <v>9.3333333333333339</v>
      </c>
      <c r="J63" s="1">
        <f t="shared" si="11"/>
        <v>6.1413333333333329</v>
      </c>
      <c r="K63" s="1">
        <f t="shared" si="12"/>
        <v>8.8013333333333339</v>
      </c>
      <c r="L63" s="2">
        <f t="shared" si="13"/>
        <v>0.16315921568627453</v>
      </c>
      <c r="M63" s="2">
        <f t="shared" si="14"/>
        <v>0.5463529411764706</v>
      </c>
      <c r="N63" s="31">
        <f t="shared" si="17"/>
        <v>0.29048784313725484</v>
      </c>
      <c r="O63" s="3">
        <f t="shared" si="15"/>
        <v>1</v>
      </c>
    </row>
    <row r="64" spans="1:15" ht="13" x14ac:dyDescent="0.25">
      <c r="A64" s="44" t="s">
        <v>25</v>
      </c>
      <c r="B64" s="27">
        <f t="shared" si="4"/>
        <v>259.2</v>
      </c>
      <c r="C64" s="1">
        <f t="shared" si="5"/>
        <v>189.20000000000002</v>
      </c>
      <c r="D64" s="1">
        <f t="shared" si="6"/>
        <v>60.544000000000004</v>
      </c>
      <c r="E64" s="1">
        <f t="shared" si="7"/>
        <v>71.706800000000001</v>
      </c>
      <c r="F64" s="1">
        <f t="shared" si="8"/>
        <v>36.704800000000006</v>
      </c>
      <c r="G64" s="1">
        <f t="shared" si="9"/>
        <v>4.3516000000000004</v>
      </c>
      <c r="H64" s="1">
        <f t="shared" si="10"/>
        <v>15.892800000000003</v>
      </c>
      <c r="I64" s="1">
        <f t="shared" si="16"/>
        <v>10.333333333333334</v>
      </c>
      <c r="J64" s="1">
        <f t="shared" si="11"/>
        <v>6.7993333333333332</v>
      </c>
      <c r="K64" s="1">
        <f t="shared" si="12"/>
        <v>9.7443333333333317</v>
      </c>
      <c r="L64" s="2">
        <f t="shared" si="13"/>
        <v>0.16297603946441155</v>
      </c>
      <c r="M64" s="2">
        <f t="shared" si="14"/>
        <v>0.54799154334038047</v>
      </c>
      <c r="N64" s="31">
        <f t="shared" si="17"/>
        <v>0.289032417195208</v>
      </c>
      <c r="O64" s="3">
        <f t="shared" si="15"/>
        <v>1</v>
      </c>
    </row>
    <row r="65" spans="1:15" ht="13" x14ac:dyDescent="0.25">
      <c r="A65" s="20" t="s">
        <v>26</v>
      </c>
      <c r="B65" s="27">
        <f t="shared" si="4"/>
        <v>1002</v>
      </c>
      <c r="C65" s="1">
        <f t="shared" si="5"/>
        <v>733.2</v>
      </c>
      <c r="D65" s="1">
        <f t="shared" si="6"/>
        <v>234.62400000000002</v>
      </c>
      <c r="E65" s="1">
        <f t="shared" si="7"/>
        <v>277.88280000000003</v>
      </c>
      <c r="F65" s="1">
        <f t="shared" si="8"/>
        <v>142.24080000000001</v>
      </c>
      <c r="G65" s="1">
        <f t="shared" si="9"/>
        <v>16.863600000000002</v>
      </c>
      <c r="H65" s="1">
        <f t="shared" si="10"/>
        <v>61.588800000000006</v>
      </c>
      <c r="I65" s="1">
        <f t="shared" si="16"/>
        <v>52</v>
      </c>
      <c r="J65" s="1">
        <f t="shared" si="11"/>
        <v>34.216000000000001</v>
      </c>
      <c r="K65" s="1">
        <f t="shared" si="12"/>
        <v>49.036000000000001</v>
      </c>
      <c r="L65" s="2">
        <f t="shared" si="13"/>
        <v>0.17341843971631207</v>
      </c>
      <c r="M65" s="2">
        <f t="shared" si="14"/>
        <v>0.54664484451718498</v>
      </c>
      <c r="N65" s="31">
        <f t="shared" si="17"/>
        <v>0.27993671576650292</v>
      </c>
      <c r="O65" s="3">
        <f t="shared" si="15"/>
        <v>1</v>
      </c>
    </row>
    <row r="66" spans="1:15" ht="13" x14ac:dyDescent="0.25">
      <c r="A66" s="20" t="s">
        <v>7</v>
      </c>
      <c r="B66" s="27">
        <f t="shared" si="4"/>
        <v>320.39999999999998</v>
      </c>
      <c r="C66" s="1">
        <f t="shared" si="5"/>
        <v>239.20000000000002</v>
      </c>
      <c r="D66" s="1">
        <f t="shared" si="6"/>
        <v>76.544000000000011</v>
      </c>
      <c r="E66" s="1">
        <f t="shared" si="7"/>
        <v>90.656800000000004</v>
      </c>
      <c r="F66" s="1">
        <f t="shared" si="8"/>
        <v>46.404800000000002</v>
      </c>
      <c r="G66" s="1">
        <f t="shared" si="9"/>
        <v>5.5016000000000007</v>
      </c>
      <c r="H66" s="1">
        <f t="shared" si="10"/>
        <v>20.092800000000004</v>
      </c>
      <c r="I66" s="1">
        <f t="shared" si="16"/>
        <v>20</v>
      </c>
      <c r="J66" s="1">
        <f t="shared" si="11"/>
        <v>13.160000000000002</v>
      </c>
      <c r="K66" s="1">
        <f t="shared" si="12"/>
        <v>18.86</v>
      </c>
      <c r="L66" s="2">
        <f t="shared" si="13"/>
        <v>0.18154515050167225</v>
      </c>
      <c r="M66" s="2">
        <f t="shared" si="14"/>
        <v>0.53578595317725752</v>
      </c>
      <c r="N66" s="31">
        <f t="shared" si="17"/>
        <v>0.28266889632107017</v>
      </c>
      <c r="O66" s="3">
        <f t="shared" si="15"/>
        <v>1</v>
      </c>
    </row>
    <row r="67" spans="1:15" ht="13" x14ac:dyDescent="0.25">
      <c r="A67" s="20" t="s">
        <v>27</v>
      </c>
      <c r="B67" s="27">
        <f t="shared" si="4"/>
        <v>666.6</v>
      </c>
      <c r="C67" s="1">
        <f t="shared" si="5"/>
        <v>494</v>
      </c>
      <c r="D67" s="1">
        <f t="shared" si="6"/>
        <v>158.08000000000001</v>
      </c>
      <c r="E67" s="1">
        <f t="shared" si="7"/>
        <v>187.226</v>
      </c>
      <c r="F67" s="1">
        <f t="shared" si="8"/>
        <v>95.835999999999999</v>
      </c>
      <c r="G67" s="1">
        <f t="shared" si="9"/>
        <v>11.362</v>
      </c>
      <c r="H67" s="1">
        <f t="shared" si="10"/>
        <v>41.496000000000002</v>
      </c>
      <c r="I67" s="1">
        <f t="shared" si="16"/>
        <v>39.666666666666664</v>
      </c>
      <c r="J67" s="1">
        <f t="shared" si="11"/>
        <v>26.100666666666669</v>
      </c>
      <c r="K67" s="1">
        <f t="shared" si="12"/>
        <v>37.405666666666669</v>
      </c>
      <c r="L67" s="2">
        <f t="shared" si="13"/>
        <v>0.17942213225371123</v>
      </c>
      <c r="M67" s="2">
        <f t="shared" si="14"/>
        <v>0.53975708502024289</v>
      </c>
      <c r="N67" s="31">
        <f t="shared" si="17"/>
        <v>0.28082078272604583</v>
      </c>
      <c r="O67" s="3">
        <f t="shared" si="15"/>
        <v>1</v>
      </c>
    </row>
    <row r="68" spans="1:15" ht="13" x14ac:dyDescent="0.25">
      <c r="A68" s="43" t="s">
        <v>8</v>
      </c>
      <c r="B68" s="27">
        <f t="shared" si="4"/>
        <v>976.19999999999993</v>
      </c>
      <c r="C68" s="1">
        <f t="shared" si="5"/>
        <v>724.80000000000007</v>
      </c>
      <c r="D68" s="1">
        <f t="shared" si="6"/>
        <v>231.93600000000004</v>
      </c>
      <c r="E68" s="1">
        <f t="shared" si="7"/>
        <v>274.69920000000002</v>
      </c>
      <c r="F68" s="1">
        <f t="shared" si="8"/>
        <v>140.61120000000003</v>
      </c>
      <c r="G68" s="1">
        <f t="shared" si="9"/>
        <v>16.670400000000001</v>
      </c>
      <c r="H68" s="1">
        <f t="shared" si="10"/>
        <v>60.883200000000009</v>
      </c>
      <c r="I68" s="1">
        <f t="shared" si="16"/>
        <v>57.333333333333336</v>
      </c>
      <c r="J68" s="1">
        <f t="shared" si="11"/>
        <v>37.725333333333332</v>
      </c>
      <c r="K68" s="1">
        <f t="shared" si="12"/>
        <v>54.065333333333335</v>
      </c>
      <c r="L68" s="2">
        <f t="shared" si="13"/>
        <v>0.17865710080941871</v>
      </c>
      <c r="M68" s="2">
        <f t="shared" si="14"/>
        <v>0.53874172185430458</v>
      </c>
      <c r="N68" s="31">
        <f t="shared" si="17"/>
        <v>0.28260117733627665</v>
      </c>
      <c r="O68" s="3">
        <f t="shared" si="15"/>
        <v>1</v>
      </c>
    </row>
    <row r="69" spans="1:15" ht="13" x14ac:dyDescent="0.25">
      <c r="A69" s="44" t="s">
        <v>28</v>
      </c>
      <c r="B69" s="27">
        <f t="shared" si="4"/>
        <v>132.6</v>
      </c>
      <c r="C69" s="1">
        <f t="shared" si="5"/>
        <v>199.60000000000002</v>
      </c>
      <c r="D69" s="1">
        <f t="shared" si="6"/>
        <v>63.872000000000007</v>
      </c>
      <c r="E69" s="1">
        <f t="shared" si="7"/>
        <v>75.648400000000009</v>
      </c>
      <c r="F69" s="1">
        <f t="shared" si="8"/>
        <v>38.722400000000007</v>
      </c>
      <c r="G69" s="1">
        <f t="shared" si="9"/>
        <v>4.5908000000000007</v>
      </c>
      <c r="H69" s="1">
        <f t="shared" si="10"/>
        <v>16.766400000000004</v>
      </c>
      <c r="I69" s="1">
        <f t="shared" si="16"/>
        <v>7.333333333333333</v>
      </c>
      <c r="J69" s="1">
        <f t="shared" si="11"/>
        <v>4.8253333333333339</v>
      </c>
      <c r="K69" s="1">
        <f t="shared" si="12"/>
        <v>6.9153333333333329</v>
      </c>
      <c r="L69" s="2">
        <f t="shared" si="13"/>
        <v>0.15152839011356048</v>
      </c>
      <c r="M69" s="2">
        <f t="shared" si="14"/>
        <v>0.2657314629258517</v>
      </c>
      <c r="N69" s="31">
        <f t="shared" si="17"/>
        <v>0.58274014696058785</v>
      </c>
      <c r="O69" s="3">
        <f t="shared" si="15"/>
        <v>1</v>
      </c>
    </row>
    <row r="70" spans="1:15" ht="13" x14ac:dyDescent="0.25">
      <c r="A70" s="44" t="s">
        <v>29</v>
      </c>
      <c r="B70" s="27">
        <f t="shared" si="4"/>
        <v>1892.3999999999999</v>
      </c>
      <c r="C70" s="1">
        <f t="shared" si="5"/>
        <v>1438</v>
      </c>
      <c r="D70" s="1">
        <f t="shared" si="6"/>
        <v>460.16</v>
      </c>
      <c r="E70" s="1">
        <f t="shared" si="7"/>
        <v>545.00199999999995</v>
      </c>
      <c r="F70" s="1">
        <f t="shared" si="8"/>
        <v>278.97199999999998</v>
      </c>
      <c r="G70" s="1">
        <f t="shared" si="9"/>
        <v>33.073999999999998</v>
      </c>
      <c r="H70" s="1">
        <f t="shared" si="10"/>
        <v>120.792</v>
      </c>
      <c r="I70" s="1">
        <f t="shared" si="16"/>
        <v>147</v>
      </c>
      <c r="J70" s="1">
        <f t="shared" si="11"/>
        <v>96.725999999999999</v>
      </c>
      <c r="K70" s="1">
        <f t="shared" si="12"/>
        <v>138.62100000000001</v>
      </c>
      <c r="L70" s="2">
        <f t="shared" si="13"/>
        <v>0.19346509040333795</v>
      </c>
      <c r="M70" s="2">
        <f t="shared" si="14"/>
        <v>0.52639777468706528</v>
      </c>
      <c r="N70" s="31">
        <f t="shared" si="17"/>
        <v>0.2801371349095968</v>
      </c>
      <c r="O70" s="3">
        <f t="shared" si="15"/>
        <v>1</v>
      </c>
    </row>
    <row r="71" spans="1:15" ht="13" x14ac:dyDescent="0.25">
      <c r="A71" s="44" t="s">
        <v>30</v>
      </c>
      <c r="B71" s="27">
        <f t="shared" si="4"/>
        <v>1808.3999999999999</v>
      </c>
      <c r="C71" s="1">
        <f t="shared" si="5"/>
        <v>1277.2</v>
      </c>
      <c r="D71" s="1">
        <f t="shared" si="6"/>
        <v>408.70400000000001</v>
      </c>
      <c r="E71" s="1">
        <f t="shared" si="7"/>
        <v>484.05880000000002</v>
      </c>
      <c r="F71" s="1">
        <f t="shared" si="8"/>
        <v>247.77680000000001</v>
      </c>
      <c r="G71" s="1">
        <f t="shared" si="9"/>
        <v>29.375600000000002</v>
      </c>
      <c r="H71" s="1">
        <f t="shared" si="10"/>
        <v>107.2848</v>
      </c>
      <c r="I71" s="1">
        <f t="shared" si="16"/>
        <v>59</v>
      </c>
      <c r="J71" s="1">
        <f t="shared" si="11"/>
        <v>38.822000000000003</v>
      </c>
      <c r="K71" s="1">
        <f t="shared" si="12"/>
        <v>55.637</v>
      </c>
      <c r="L71" s="2">
        <f t="shared" si="13"/>
        <v>0.15758315064202943</v>
      </c>
      <c r="M71" s="2">
        <f t="shared" si="14"/>
        <v>0.56636392107735667</v>
      </c>
      <c r="N71" s="31">
        <f t="shared" si="17"/>
        <v>0.2760529282806139</v>
      </c>
      <c r="O71" s="3">
        <f t="shared" si="15"/>
        <v>1</v>
      </c>
    </row>
    <row r="72" spans="1:15" ht="13" x14ac:dyDescent="0.25">
      <c r="A72" s="44" t="s">
        <v>9</v>
      </c>
      <c r="B72" s="27">
        <f t="shared" si="4"/>
        <v>303.59999999999997</v>
      </c>
      <c r="C72" s="1">
        <f t="shared" si="5"/>
        <v>218.8</v>
      </c>
      <c r="D72" s="1">
        <f t="shared" si="6"/>
        <v>70.016000000000005</v>
      </c>
      <c r="E72" s="1">
        <f t="shared" si="7"/>
        <v>82.925200000000004</v>
      </c>
      <c r="F72" s="1">
        <f t="shared" si="8"/>
        <v>42.447200000000002</v>
      </c>
      <c r="G72" s="1">
        <f t="shared" si="9"/>
        <v>5.0324</v>
      </c>
      <c r="H72" s="1">
        <f t="shared" si="10"/>
        <v>18.379200000000001</v>
      </c>
      <c r="I72" s="1">
        <f t="shared" si="16"/>
        <v>13</v>
      </c>
      <c r="J72" s="1">
        <f t="shared" si="11"/>
        <v>8.5540000000000003</v>
      </c>
      <c r="K72" s="1">
        <f t="shared" si="12"/>
        <v>12.259</v>
      </c>
      <c r="L72" s="2">
        <f t="shared" si="13"/>
        <v>0.1660493601462523</v>
      </c>
      <c r="M72" s="2">
        <f t="shared" si="14"/>
        <v>0.55502742230347346</v>
      </c>
      <c r="N72" s="31">
        <f t="shared" si="17"/>
        <v>0.27892321755027427</v>
      </c>
      <c r="O72" s="3">
        <f t="shared" si="15"/>
        <v>1</v>
      </c>
    </row>
    <row r="73" spans="1:15" ht="13" x14ac:dyDescent="0.25">
      <c r="A73" s="44" t="s">
        <v>31</v>
      </c>
      <c r="B73" s="27">
        <f t="shared" si="4"/>
        <v>481.2</v>
      </c>
      <c r="C73" s="1">
        <f t="shared" si="5"/>
        <v>328.40000000000003</v>
      </c>
      <c r="D73" s="1">
        <f t="shared" si="6"/>
        <v>105.08800000000001</v>
      </c>
      <c r="E73" s="1">
        <f t="shared" si="7"/>
        <v>124.46360000000001</v>
      </c>
      <c r="F73" s="1">
        <f t="shared" si="8"/>
        <v>63.709600000000009</v>
      </c>
      <c r="G73" s="1">
        <f t="shared" si="9"/>
        <v>7.5532000000000004</v>
      </c>
      <c r="H73" s="1">
        <f t="shared" si="10"/>
        <v>27.585600000000003</v>
      </c>
      <c r="I73" s="1">
        <f t="shared" si="16"/>
        <v>4.666666666666667</v>
      </c>
      <c r="J73" s="1">
        <f t="shared" si="11"/>
        <v>3.0706666666666664</v>
      </c>
      <c r="K73" s="1">
        <f t="shared" si="12"/>
        <v>4.4006666666666669</v>
      </c>
      <c r="L73" s="2">
        <f t="shared" si="13"/>
        <v>0.13710028420625256</v>
      </c>
      <c r="M73" s="2">
        <f t="shared" si="14"/>
        <v>0.58611449451887943</v>
      </c>
      <c r="N73" s="31">
        <f t="shared" si="17"/>
        <v>0.27678522127486804</v>
      </c>
      <c r="O73" s="3">
        <f t="shared" si="15"/>
        <v>1</v>
      </c>
    </row>
    <row r="74" spans="1:15" ht="13" x14ac:dyDescent="0.25">
      <c r="A74" s="44" t="s">
        <v>10</v>
      </c>
      <c r="B74" s="27">
        <f t="shared" si="4"/>
        <v>577.79999999999995</v>
      </c>
      <c r="C74" s="1">
        <f t="shared" si="5"/>
        <v>424</v>
      </c>
      <c r="D74" s="1">
        <f t="shared" si="6"/>
        <v>135.68</v>
      </c>
      <c r="E74" s="1">
        <f t="shared" si="7"/>
        <v>160.696</v>
      </c>
      <c r="F74" s="1">
        <f t="shared" si="8"/>
        <v>82.256</v>
      </c>
      <c r="G74" s="1">
        <f t="shared" si="9"/>
        <v>9.7520000000000007</v>
      </c>
      <c r="H74" s="1">
        <f t="shared" si="10"/>
        <v>35.616</v>
      </c>
      <c r="I74" s="1">
        <f t="shared" si="16"/>
        <v>30.333333333333332</v>
      </c>
      <c r="J74" s="1">
        <f t="shared" si="11"/>
        <v>19.959333333333333</v>
      </c>
      <c r="K74" s="1">
        <f t="shared" si="12"/>
        <v>28.604333333333333</v>
      </c>
      <c r="L74" s="2">
        <f t="shared" si="13"/>
        <v>0.17381477987421384</v>
      </c>
      <c r="M74" s="2">
        <f t="shared" si="14"/>
        <v>0.54509433962264142</v>
      </c>
      <c r="N74" s="31">
        <f t="shared" si="17"/>
        <v>0.28109088050314468</v>
      </c>
      <c r="O74" s="3">
        <f t="shared" si="15"/>
        <v>1</v>
      </c>
    </row>
    <row r="75" spans="1:15" ht="13.5" thickBot="1" x14ac:dyDescent="0.3">
      <c r="A75" s="21" t="s">
        <v>32</v>
      </c>
      <c r="B75" s="28">
        <f t="shared" si="4"/>
        <v>49.8</v>
      </c>
      <c r="C75" s="29">
        <f t="shared" si="5"/>
        <v>35.6</v>
      </c>
      <c r="D75" s="29">
        <f t="shared" si="6"/>
        <v>11.392000000000001</v>
      </c>
      <c r="E75" s="29">
        <f t="shared" si="7"/>
        <v>13.4924</v>
      </c>
      <c r="F75" s="29">
        <f t="shared" si="8"/>
        <v>6.9064000000000005</v>
      </c>
      <c r="G75" s="29">
        <f t="shared" si="9"/>
        <v>0.81879999999999997</v>
      </c>
      <c r="H75" s="29">
        <f t="shared" si="10"/>
        <v>2.9904000000000002</v>
      </c>
      <c r="I75" s="29">
        <f t="shared" si="16"/>
        <v>2</v>
      </c>
      <c r="J75" s="29">
        <f t="shared" si="11"/>
        <v>1.3160000000000001</v>
      </c>
      <c r="K75" s="29">
        <f t="shared" si="12"/>
        <v>1.8859999999999999</v>
      </c>
      <c r="L75" s="30">
        <f t="shared" si="13"/>
        <v>0.16397752808988766</v>
      </c>
      <c r="M75" s="30">
        <f t="shared" si="14"/>
        <v>0.55955056179775275</v>
      </c>
      <c r="N75" s="32">
        <f t="shared" si="17"/>
        <v>0.27647191011235961</v>
      </c>
      <c r="O75" s="3">
        <f t="shared" si="15"/>
        <v>1</v>
      </c>
    </row>
    <row r="76" spans="1:15" ht="13" thickTop="1" x14ac:dyDescent="0.25"/>
  </sheetData>
  <mergeCells count="6">
    <mergeCell ref="B1:E1"/>
    <mergeCell ref="A1:A2"/>
    <mergeCell ref="F1:F2"/>
    <mergeCell ref="G1:G2"/>
    <mergeCell ref="G27:G28"/>
    <mergeCell ref="F27:F2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Demographic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Erfan Nobil</cp:lastModifiedBy>
  <dcterms:modified xsi:type="dcterms:W3CDTF">2025-11-25T17:47:44Z</dcterms:modified>
</cp:coreProperties>
</file>